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e1a8130b3e09eb/KBakery/עסק כללי/"/>
    </mc:Choice>
  </mc:AlternateContent>
  <xr:revisionPtr revIDLastSave="15" documentId="14_{DDDA31B6-35A1-4207-87AC-F728DD73730B}" xr6:coauthVersionLast="47" xr6:coauthVersionMax="47" xr10:uidLastSave="{85A7A50A-3B83-4FB5-AF06-66E1F4A68E2E}"/>
  <bookViews>
    <workbookView xWindow="-120" yWindow="-120" windowWidth="29040" windowHeight="15720" firstSheet="8" activeTab="13" xr2:uid="{1FF2778B-55DD-474A-969D-BD24C9232D31}"/>
  </bookViews>
  <sheets>
    <sheet name="ראשי" sheetId="1" r:id="rId1"/>
    <sheet name="חומרי גלם" sheetId="2" r:id="rId2"/>
    <sheet name="אריזות" sheetId="3" r:id="rId3"/>
    <sheet name="עלות ליחידה" sheetId="4" r:id="rId4"/>
    <sheet name="מוצרים" sheetId="5" r:id="rId5"/>
    <sheet name="מארזים" sheetId="6" r:id="rId6"/>
    <sheet name="מארז פורים ענק" sheetId="59" r:id="rId7"/>
    <sheet name="מארז פורים לגנים" sheetId="58" r:id="rId8"/>
    <sheet name="מארז פורים גדול" sheetId="53" r:id="rId9"/>
    <sheet name="מארז פורים בינוני עם כיבודיות" sheetId="57" r:id="rId10"/>
    <sheet name="מארז פורים בינוני" sheetId="56" r:id="rId11"/>
    <sheet name="מארז פורים עם כיבודיות" sheetId="55" r:id="rId12"/>
    <sheet name="מארז פורים קטן" sheetId="54" r:id="rId13"/>
    <sheet name="עוגיות חמאה" sheetId="52" r:id="rId14"/>
    <sheet name="חטיף שוגי" sheetId="51" r:id="rId15"/>
    <sheet name="עוגיות בראוניג פורים" sheetId="49" r:id="rId16"/>
    <sheet name="נשיקות מרנג" sheetId="50" r:id="rId17"/>
    <sheet name="אלפחורס קקאו" sheetId="48" r:id="rId18"/>
    <sheet name="אלפחורס" sheetId="47" r:id="rId19"/>
    <sheet name="עוגת שוקולד אישית" sheetId="46" r:id="rId20"/>
    <sheet name="אוזני המן מירי כץ פיסטוק" sheetId="45" r:id="rId21"/>
    <sheet name="אוזני המן מירי כץ קקאו" sheetId="44" r:id="rId22"/>
    <sheet name="אוזני המן מירי כץ וניל" sheetId="43" r:id="rId23"/>
    <sheet name="עוגת שוקולד בלי ביצים" sheetId="41" r:id="rId24"/>
    <sheet name="עוגת שוקולד שלי" sheetId="40" r:id="rId25"/>
    <sheet name="בראוניז MIRMIS" sheetId="39" r:id="rId26"/>
    <sheet name="מוס 24" sheetId="38" r:id="rId27"/>
    <sheet name="מוס 20" sheetId="37" r:id="rId28"/>
    <sheet name="מוס 16" sheetId="36" r:id="rId29"/>
    <sheet name="מיני דונאטס (עדי כהן)" sheetId="34" r:id="rId30"/>
    <sheet name="מגולגלות קינדר" sheetId="35" r:id="rId31"/>
    <sheet name="מתכון מגנום בסיסי" sheetId="33" r:id="rId32"/>
    <sheet name="צנצנות מוס אישי" sheetId="32" r:id="rId33"/>
    <sheet name="עוגת מוס קינדר 16" sheetId="31" r:id="rId34"/>
    <sheet name="קרם ברולה אישי" sheetId="30" r:id="rId35"/>
    <sheet name="בקלאווה טחינה" sheetId="29" r:id="rId36"/>
    <sheet name="בקלאווה אגוזים" sheetId="28" r:id="rId37"/>
    <sheet name="מגולגלות פיסטוק" sheetId="27" r:id="rId38"/>
    <sheet name="בראוניז אמסטרדם" sheetId="26" r:id="rId39"/>
    <sheet name="נקניק שוקולד לבן קינדר" sheetId="25" r:id="rId40"/>
    <sheet name="עוגיות אמסטרדם" sheetId="7" r:id="rId41"/>
    <sheet name="עוגיות שוקולד צ'יפס מושחתות" sheetId="8" r:id="rId42"/>
    <sheet name="חיתוכיות פררו רושה" sheetId="9" r:id="rId43"/>
    <sheet name="מגולגלות במבה נוגט" sheetId="10" r:id="rId44"/>
    <sheet name="פרליני שוקלד חמאת בוטנים" sheetId="11" r:id="rId45"/>
    <sheet name="טריקולד" sheetId="12" r:id="rId46"/>
    <sheet name="כדורי לואקר" sheetId="13" r:id="rId47"/>
    <sheet name="עוגיות חמאה פיסטוק" sheetId="15" r:id="rId48"/>
    <sheet name="כדורי אוריאו" sheetId="14" r:id="rId49"/>
    <sheet name="כדורי קינדר בואנו" sheetId="16" r:id="rId50"/>
    <sheet name="עוגיות שלג" sheetId="17" r:id="rId51"/>
    <sheet name="עוגת ביסקוויטים פיסטוק" sheetId="18" r:id="rId52"/>
    <sheet name="נקניק שוקולד חום לבן" sheetId="19" r:id="rId53"/>
    <sheet name="מיני דונאטס (מולטיקייק)" sheetId="20" r:id="rId54"/>
    <sheet name="רוגלך קטנים" sheetId="21" r:id="rId55"/>
    <sheet name="קינדר ג'וני ביתי" sheetId="22" r:id="rId56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59" l="1"/>
  <c r="C3" i="59"/>
  <c r="C4" i="59"/>
  <c r="C5" i="59"/>
  <c r="C6" i="59"/>
  <c r="C7" i="59"/>
  <c r="C8" i="59"/>
  <c r="C9" i="59"/>
  <c r="C10" i="59"/>
  <c r="H4" i="59"/>
  <c r="H3" i="59"/>
  <c r="C8" i="58"/>
  <c r="C7" i="58"/>
  <c r="C6" i="58"/>
  <c r="C5" i="58"/>
  <c r="H4" i="58"/>
  <c r="C4" i="58"/>
  <c r="H3" i="58"/>
  <c r="C3" i="58"/>
  <c r="H5" i="57"/>
  <c r="C8" i="57"/>
  <c r="C7" i="57"/>
  <c r="C6" i="57"/>
  <c r="C5" i="57"/>
  <c r="H4" i="57"/>
  <c r="C4" i="57"/>
  <c r="H3" i="57"/>
  <c r="C3" i="57"/>
  <c r="C9" i="56"/>
  <c r="C8" i="56"/>
  <c r="C7" i="56"/>
  <c r="C6" i="56"/>
  <c r="C5" i="56"/>
  <c r="C4" i="56"/>
  <c r="H4" i="56"/>
  <c r="H3" i="56"/>
  <c r="C3" i="56"/>
  <c r="C9" i="55"/>
  <c r="C8" i="55"/>
  <c r="C7" i="55"/>
  <c r="C6" i="55"/>
  <c r="C5" i="55"/>
  <c r="H4" i="55"/>
  <c r="C4" i="55"/>
  <c r="H3" i="55"/>
  <c r="C3" i="55"/>
  <c r="C8" i="54"/>
  <c r="C7" i="54"/>
  <c r="C6" i="54"/>
  <c r="C5" i="54"/>
  <c r="C4" i="54"/>
  <c r="H4" i="54"/>
  <c r="H3" i="54"/>
  <c r="C3" i="54"/>
  <c r="C10" i="53"/>
  <c r="C9" i="53"/>
  <c r="C8" i="53"/>
  <c r="C7" i="53"/>
  <c r="C6" i="53"/>
  <c r="C5" i="53"/>
  <c r="H4" i="53"/>
  <c r="C4" i="53"/>
  <c r="H3" i="53"/>
  <c r="C3" i="53"/>
  <c r="D9" i="52"/>
  <c r="C9" i="52"/>
  <c r="D8" i="52"/>
  <c r="C8" i="52"/>
  <c r="D7" i="52"/>
  <c r="C7" i="52"/>
  <c r="D6" i="52"/>
  <c r="C6" i="52"/>
  <c r="D5" i="52"/>
  <c r="C5" i="52"/>
  <c r="D4" i="52"/>
  <c r="C4" i="52"/>
  <c r="Q3" i="52"/>
  <c r="Q1" i="52" s="1"/>
  <c r="H3" i="52"/>
  <c r="L4" i="52" s="1" a="1"/>
  <c r="L4" i="52" s="1"/>
  <c r="D3" i="52"/>
  <c r="C3" i="52"/>
  <c r="D6" i="51"/>
  <c r="C6" i="51"/>
  <c r="D5" i="51"/>
  <c r="C5" i="51"/>
  <c r="D4" i="51"/>
  <c r="C4" i="51"/>
  <c r="Q3" i="51"/>
  <c r="Q1" i="51" s="1"/>
  <c r="H3" i="51"/>
  <c r="L4" i="51" s="1" a="1"/>
  <c r="L4" i="51" s="1"/>
  <c r="D3" i="51"/>
  <c r="C3" i="51"/>
  <c r="D7" i="50"/>
  <c r="C7" i="50"/>
  <c r="D6" i="50"/>
  <c r="C6" i="50"/>
  <c r="D5" i="50"/>
  <c r="C5" i="50"/>
  <c r="D4" i="50"/>
  <c r="C4" i="50"/>
  <c r="Q3" i="50"/>
  <c r="Q1" i="50" s="1"/>
  <c r="H3" i="50"/>
  <c r="L4" i="50" s="1" a="1"/>
  <c r="L4" i="50" s="1"/>
  <c r="D3" i="50"/>
  <c r="C3" i="50"/>
  <c r="C12" i="49"/>
  <c r="D12" i="49"/>
  <c r="C11" i="49"/>
  <c r="D11" i="49"/>
  <c r="C3" i="49"/>
  <c r="D3" i="49"/>
  <c r="C4" i="49"/>
  <c r="D4" i="49"/>
  <c r="C5" i="49"/>
  <c r="D5" i="49"/>
  <c r="C6" i="49"/>
  <c r="D6" i="49"/>
  <c r="C7" i="49"/>
  <c r="D7" i="49"/>
  <c r="C8" i="49"/>
  <c r="D8" i="49"/>
  <c r="C9" i="49"/>
  <c r="D9" i="49"/>
  <c r="C10" i="49"/>
  <c r="D10" i="49"/>
  <c r="Q3" i="49"/>
  <c r="Q1" i="49" s="1"/>
  <c r="H3" i="49"/>
  <c r="L4" i="49" s="1" a="1"/>
  <c r="L4" i="49" s="1"/>
  <c r="C11" i="48"/>
  <c r="D11" i="48"/>
  <c r="D10" i="48"/>
  <c r="C10" i="48"/>
  <c r="D9" i="48"/>
  <c r="C9" i="48"/>
  <c r="D8" i="48"/>
  <c r="C8" i="48"/>
  <c r="D7" i="48"/>
  <c r="C7" i="48"/>
  <c r="D6" i="48"/>
  <c r="C6" i="48"/>
  <c r="D5" i="48"/>
  <c r="C5" i="48"/>
  <c r="L4" i="48" a="1"/>
  <c r="L4" i="48" s="1"/>
  <c r="D4" i="48"/>
  <c r="C4" i="48"/>
  <c r="Q3" i="48"/>
  <c r="Q1" i="48" s="1"/>
  <c r="H3" i="48"/>
  <c r="D3" i="48"/>
  <c r="C3" i="48"/>
  <c r="C10" i="47"/>
  <c r="D10" i="47"/>
  <c r="D9" i="47"/>
  <c r="C9" i="47"/>
  <c r="D8" i="47"/>
  <c r="C8" i="47"/>
  <c r="D7" i="47"/>
  <c r="C7" i="47"/>
  <c r="D6" i="47"/>
  <c r="C6" i="47"/>
  <c r="D5" i="47"/>
  <c r="C5" i="47"/>
  <c r="D4" i="47"/>
  <c r="C4" i="47"/>
  <c r="Q3" i="47"/>
  <c r="H3" i="47"/>
  <c r="L4" i="47" s="1" a="1"/>
  <c r="L4" i="47" s="1"/>
  <c r="D3" i="47"/>
  <c r="C3" i="47"/>
  <c r="Q1" i="47"/>
  <c r="C3" i="46"/>
  <c r="D3" i="46"/>
  <c r="C4" i="46"/>
  <c r="D4" i="46"/>
  <c r="C5" i="46"/>
  <c r="D5" i="46"/>
  <c r="C6" i="46"/>
  <c r="D6" i="46"/>
  <c r="C7" i="46"/>
  <c r="D7" i="46"/>
  <c r="C8" i="46"/>
  <c r="D8" i="46"/>
  <c r="C9" i="46"/>
  <c r="D9" i="46"/>
  <c r="Q3" i="46"/>
  <c r="Q1" i="46" s="1"/>
  <c r="H3" i="46"/>
  <c r="L4" i="46" s="1" a="1"/>
  <c r="L4" i="46" s="1"/>
  <c r="C10" i="45"/>
  <c r="D10" i="45"/>
  <c r="D9" i="45"/>
  <c r="C9" i="45"/>
  <c r="D8" i="45"/>
  <c r="C8" i="45"/>
  <c r="D7" i="45"/>
  <c r="C7" i="45"/>
  <c r="D6" i="45"/>
  <c r="C6" i="45"/>
  <c r="D5" i="45"/>
  <c r="C5" i="45"/>
  <c r="L4" i="45" a="1"/>
  <c r="L4" i="45" s="1"/>
  <c r="D4" i="45"/>
  <c r="C4" i="45"/>
  <c r="Q3" i="45"/>
  <c r="Q1" i="45" s="1"/>
  <c r="H3" i="45"/>
  <c r="D3" i="45"/>
  <c r="C3" i="45"/>
  <c r="C9" i="44"/>
  <c r="D9" i="44"/>
  <c r="D8" i="44"/>
  <c r="C8" i="44"/>
  <c r="D7" i="44"/>
  <c r="C7" i="44"/>
  <c r="D6" i="44"/>
  <c r="C6" i="44"/>
  <c r="D5" i="44"/>
  <c r="C5" i="44"/>
  <c r="D4" i="44"/>
  <c r="C4" i="44"/>
  <c r="Q3" i="44"/>
  <c r="Q1" i="44" s="1"/>
  <c r="H3" i="44"/>
  <c r="L4" i="44" s="1" a="1"/>
  <c r="L4" i="44" s="1"/>
  <c r="D3" i="44"/>
  <c r="C3" i="44"/>
  <c r="C8" i="43"/>
  <c r="D8" i="43"/>
  <c r="C3" i="43"/>
  <c r="D3" i="43"/>
  <c r="C4" i="43"/>
  <c r="D4" i="43"/>
  <c r="C5" i="43"/>
  <c r="D5" i="43"/>
  <c r="C6" i="43"/>
  <c r="D6" i="43"/>
  <c r="C7" i="43"/>
  <c r="D7" i="43"/>
  <c r="Q3" i="43"/>
  <c r="H3" i="43"/>
  <c r="L4" i="43" s="1" a="1"/>
  <c r="L4" i="43" s="1"/>
  <c r="C9" i="22"/>
  <c r="D9" i="22"/>
  <c r="C12" i="21"/>
  <c r="D12" i="21"/>
  <c r="C13" i="20"/>
  <c r="D13" i="20"/>
  <c r="C9" i="19"/>
  <c r="D9" i="19"/>
  <c r="C11" i="18"/>
  <c r="D11" i="18"/>
  <c r="C11" i="17"/>
  <c r="D11" i="17"/>
  <c r="C9" i="16"/>
  <c r="D9" i="16"/>
  <c r="C13" i="15"/>
  <c r="D13" i="15"/>
  <c r="C10" i="14"/>
  <c r="D10" i="14"/>
  <c r="C10" i="13"/>
  <c r="D10" i="13"/>
  <c r="C10" i="12"/>
  <c r="D10" i="12"/>
  <c r="C8" i="11"/>
  <c r="D8" i="11"/>
  <c r="C15" i="10"/>
  <c r="D15" i="10"/>
  <c r="C12" i="9"/>
  <c r="D12" i="9"/>
  <c r="C13" i="8"/>
  <c r="D13" i="8"/>
  <c r="C14" i="7"/>
  <c r="D14" i="7"/>
  <c r="C13" i="26"/>
  <c r="D13" i="26"/>
  <c r="C12" i="27"/>
  <c r="D12" i="27"/>
  <c r="C7" i="28"/>
  <c r="D7" i="28"/>
  <c r="C9" i="29"/>
  <c r="D9" i="29"/>
  <c r="C12" i="31"/>
  <c r="D12" i="31"/>
  <c r="C10" i="32"/>
  <c r="D10" i="32"/>
  <c r="C11" i="33"/>
  <c r="D11" i="33"/>
  <c r="C12" i="35"/>
  <c r="D12" i="35"/>
  <c r="C11" i="34"/>
  <c r="D11" i="34"/>
  <c r="C18" i="36"/>
  <c r="D18" i="36"/>
  <c r="C18" i="37"/>
  <c r="D18" i="37"/>
  <c r="C18" i="38"/>
  <c r="D18" i="38"/>
  <c r="C10" i="39"/>
  <c r="D10" i="39"/>
  <c r="C10" i="40"/>
  <c r="D10" i="40"/>
  <c r="C10" i="41"/>
  <c r="D10" i="41"/>
  <c r="C3" i="41"/>
  <c r="D3" i="41"/>
  <c r="C4" i="41"/>
  <c r="D4" i="41"/>
  <c r="C5" i="41"/>
  <c r="D5" i="41"/>
  <c r="C6" i="41"/>
  <c r="D6" i="41"/>
  <c r="C7" i="41"/>
  <c r="D7" i="41"/>
  <c r="C8" i="41"/>
  <c r="D8" i="41"/>
  <c r="C9" i="41"/>
  <c r="D9" i="41"/>
  <c r="Q3" i="41"/>
  <c r="Q1" i="41" s="1"/>
  <c r="H3" i="41"/>
  <c r="L4" i="41" s="1" a="1"/>
  <c r="L4" i="41" s="1"/>
  <c r="D9" i="40"/>
  <c r="C9" i="40"/>
  <c r="D8" i="40"/>
  <c r="C8" i="40"/>
  <c r="D7" i="40"/>
  <c r="C7" i="40"/>
  <c r="D6" i="40"/>
  <c r="C6" i="40"/>
  <c r="D5" i="40"/>
  <c r="C5" i="40"/>
  <c r="D4" i="40"/>
  <c r="C4" i="40"/>
  <c r="Q3" i="40"/>
  <c r="Q1" i="40" s="1"/>
  <c r="H3" i="40"/>
  <c r="L4" i="40" s="1" a="1"/>
  <c r="L4" i="40" s="1"/>
  <c r="D3" i="40"/>
  <c r="C3" i="40"/>
  <c r="C9" i="39"/>
  <c r="D9" i="39"/>
  <c r="D8" i="39"/>
  <c r="C8" i="39"/>
  <c r="D7" i="39"/>
  <c r="C7" i="39"/>
  <c r="D6" i="39"/>
  <c r="C6" i="39"/>
  <c r="D5" i="39"/>
  <c r="C5" i="39"/>
  <c r="D4" i="39"/>
  <c r="C4" i="39"/>
  <c r="Q3" i="39"/>
  <c r="Q1" i="39" s="1"/>
  <c r="H3" i="39"/>
  <c r="L4" i="39" s="1" a="1"/>
  <c r="L4" i="39" s="1"/>
  <c r="D3" i="39"/>
  <c r="C3" i="39"/>
  <c r="D17" i="38"/>
  <c r="C17" i="38"/>
  <c r="D16" i="38"/>
  <c r="C16" i="38"/>
  <c r="D15" i="38"/>
  <c r="C15" i="38"/>
  <c r="D14" i="38"/>
  <c r="C14" i="38"/>
  <c r="D13" i="38"/>
  <c r="C13" i="38"/>
  <c r="D12" i="38"/>
  <c r="C12" i="38"/>
  <c r="D11" i="38"/>
  <c r="C11" i="38"/>
  <c r="D10" i="38"/>
  <c r="C10" i="38"/>
  <c r="D9" i="38"/>
  <c r="C9" i="38"/>
  <c r="D8" i="38"/>
  <c r="C8" i="38"/>
  <c r="D7" i="38"/>
  <c r="C7" i="38"/>
  <c r="D6" i="38"/>
  <c r="C6" i="38"/>
  <c r="D5" i="38"/>
  <c r="C5" i="38"/>
  <c r="D4" i="38"/>
  <c r="C4" i="38"/>
  <c r="Q3" i="38"/>
  <c r="Q1" i="38" s="1"/>
  <c r="H3" i="38"/>
  <c r="L4" i="38" s="1" a="1"/>
  <c r="L4" i="38" s="1"/>
  <c r="D3" i="38"/>
  <c r="C3" i="38"/>
  <c r="D17" i="37"/>
  <c r="C17" i="37"/>
  <c r="D16" i="37"/>
  <c r="C16" i="37"/>
  <c r="D15" i="37"/>
  <c r="C15" i="37"/>
  <c r="D14" i="37"/>
  <c r="C14" i="37"/>
  <c r="D13" i="37"/>
  <c r="C13" i="37"/>
  <c r="D12" i="37"/>
  <c r="C12" i="37"/>
  <c r="D11" i="37"/>
  <c r="C11" i="37"/>
  <c r="D10" i="37"/>
  <c r="C10" i="37"/>
  <c r="D9" i="37"/>
  <c r="C9" i="37"/>
  <c r="D8" i="37"/>
  <c r="C8" i="37"/>
  <c r="D7" i="37"/>
  <c r="C7" i="37"/>
  <c r="D6" i="37"/>
  <c r="C6" i="37"/>
  <c r="D5" i="37"/>
  <c r="C5" i="37"/>
  <c r="D4" i="37"/>
  <c r="C4" i="37"/>
  <c r="Q3" i="37"/>
  <c r="Q1" i="37" s="1"/>
  <c r="H3" i="37"/>
  <c r="L4" i="37" s="1" a="1"/>
  <c r="L4" i="37" s="1"/>
  <c r="D3" i="37"/>
  <c r="C3" i="37"/>
  <c r="C16" i="36"/>
  <c r="C17" i="36"/>
  <c r="D16" i="36"/>
  <c r="D17" i="36"/>
  <c r="C15" i="36"/>
  <c r="D15" i="36"/>
  <c r="C11" i="36"/>
  <c r="C12" i="36"/>
  <c r="C13" i="36"/>
  <c r="C14" i="36"/>
  <c r="D11" i="36"/>
  <c r="D12" i="36"/>
  <c r="D13" i="36"/>
  <c r="D14" i="36"/>
  <c r="D10" i="36"/>
  <c r="C10" i="36"/>
  <c r="D9" i="36"/>
  <c r="C9" i="36"/>
  <c r="D8" i="36"/>
  <c r="C8" i="36"/>
  <c r="D7" i="36"/>
  <c r="C7" i="36"/>
  <c r="D6" i="36"/>
  <c r="C6" i="36"/>
  <c r="D5" i="36"/>
  <c r="C5" i="36"/>
  <c r="D4" i="36"/>
  <c r="C4" i="36"/>
  <c r="Q3" i="36"/>
  <c r="Q1" i="36" s="1"/>
  <c r="H3" i="36"/>
  <c r="L4" i="36" s="1" a="1"/>
  <c r="L4" i="36" s="1"/>
  <c r="D3" i="36"/>
  <c r="C3" i="36"/>
  <c r="C11" i="35"/>
  <c r="D11" i="35"/>
  <c r="D10" i="35"/>
  <c r="C10" i="35"/>
  <c r="D9" i="35"/>
  <c r="C9" i="35"/>
  <c r="D8" i="35"/>
  <c r="C8" i="35"/>
  <c r="D7" i="35"/>
  <c r="C7" i="35"/>
  <c r="D6" i="35"/>
  <c r="C6" i="35"/>
  <c r="D5" i="35"/>
  <c r="C5" i="35"/>
  <c r="D4" i="35"/>
  <c r="C4" i="35"/>
  <c r="Q3" i="35"/>
  <c r="Q1" i="35" s="1"/>
  <c r="H3" i="35"/>
  <c r="L4" i="35" s="1" a="1"/>
  <c r="L4" i="35" s="1"/>
  <c r="D3" i="35"/>
  <c r="C3" i="35"/>
  <c r="D10" i="34"/>
  <c r="C10" i="34"/>
  <c r="D9" i="34"/>
  <c r="C9" i="34"/>
  <c r="D8" i="34"/>
  <c r="C8" i="34"/>
  <c r="D7" i="34"/>
  <c r="C7" i="34"/>
  <c r="D6" i="34"/>
  <c r="C6" i="34"/>
  <c r="D5" i="34"/>
  <c r="C5" i="34"/>
  <c r="D4" i="34"/>
  <c r="C4" i="34"/>
  <c r="Q3" i="34"/>
  <c r="Q1" i="34" s="1"/>
  <c r="H3" i="34"/>
  <c r="L4" i="34" s="1" a="1"/>
  <c r="L4" i="34" s="1"/>
  <c r="D3" i="34"/>
  <c r="C3" i="34"/>
  <c r="C10" i="33"/>
  <c r="D10" i="33"/>
  <c r="D9" i="33"/>
  <c r="C9" i="33"/>
  <c r="D8" i="33"/>
  <c r="C8" i="33"/>
  <c r="D7" i="33"/>
  <c r="C7" i="33"/>
  <c r="D6" i="33"/>
  <c r="C6" i="33"/>
  <c r="D5" i="33"/>
  <c r="C5" i="33"/>
  <c r="D4" i="33"/>
  <c r="C4" i="33"/>
  <c r="Q3" i="33"/>
  <c r="Q1" i="33" s="1"/>
  <c r="H3" i="33"/>
  <c r="L4" i="33" s="1" a="1"/>
  <c r="L4" i="33" s="1"/>
  <c r="D3" i="33"/>
  <c r="C3" i="33"/>
  <c r="D9" i="32"/>
  <c r="C9" i="32"/>
  <c r="D8" i="32"/>
  <c r="D7" i="32"/>
  <c r="C8" i="32"/>
  <c r="C7" i="32"/>
  <c r="C6" i="32"/>
  <c r="D6" i="32"/>
  <c r="D5" i="32"/>
  <c r="C5" i="32"/>
  <c r="D4" i="32"/>
  <c r="C4" i="32"/>
  <c r="Q3" i="32"/>
  <c r="Q1" i="32" s="1"/>
  <c r="H3" i="32"/>
  <c r="L4" i="32" s="1" a="1"/>
  <c r="L4" i="32" s="1"/>
  <c r="D3" i="32"/>
  <c r="C3" i="32"/>
  <c r="C8" i="31"/>
  <c r="C9" i="31"/>
  <c r="C10" i="31"/>
  <c r="C11" i="31"/>
  <c r="D8" i="31"/>
  <c r="D9" i="31"/>
  <c r="D10" i="31"/>
  <c r="D11" i="31"/>
  <c r="D7" i="31"/>
  <c r="C7" i="31"/>
  <c r="D6" i="31"/>
  <c r="C6" i="31"/>
  <c r="D5" i="31"/>
  <c r="C5" i="31"/>
  <c r="D4" i="31"/>
  <c r="C4" i="31"/>
  <c r="Q3" i="31"/>
  <c r="Q1" i="31" s="1"/>
  <c r="H3" i="31"/>
  <c r="L4" i="31" s="1" a="1"/>
  <c r="L4" i="31" s="1"/>
  <c r="D3" i="31"/>
  <c r="C3" i="31"/>
  <c r="D7" i="30"/>
  <c r="C7" i="30"/>
  <c r="D6" i="30"/>
  <c r="C6" i="30"/>
  <c r="D5" i="30"/>
  <c r="C5" i="30"/>
  <c r="D4" i="30"/>
  <c r="C4" i="30"/>
  <c r="Q3" i="30"/>
  <c r="H3" i="30"/>
  <c r="L4" i="30" s="1" a="1"/>
  <c r="L4" i="30" s="1"/>
  <c r="D3" i="30"/>
  <c r="C3" i="30"/>
  <c r="C7" i="29"/>
  <c r="C8" i="29"/>
  <c r="D7" i="29"/>
  <c r="D8" i="29"/>
  <c r="D6" i="29"/>
  <c r="C6" i="29"/>
  <c r="D5" i="29"/>
  <c r="C5" i="29"/>
  <c r="Q4" i="29"/>
  <c r="D4" i="29"/>
  <c r="C4" i="29"/>
  <c r="Q3" i="29"/>
  <c r="H3" i="29"/>
  <c r="L4" i="29" s="1" a="1"/>
  <c r="L4" i="29" s="1"/>
  <c r="D3" i="29"/>
  <c r="C3" i="29"/>
  <c r="D6" i="28"/>
  <c r="C6" i="28"/>
  <c r="D5" i="28"/>
  <c r="C5" i="28"/>
  <c r="Q4" i="28"/>
  <c r="D4" i="28"/>
  <c r="C4" i="28"/>
  <c r="Q3" i="28"/>
  <c r="Q1" i="28" s="1"/>
  <c r="H3" i="28"/>
  <c r="L4" i="28" s="1" a="1"/>
  <c r="L4" i="28" s="1"/>
  <c r="D3" i="28"/>
  <c r="C3" i="28"/>
  <c r="D11" i="27"/>
  <c r="C11" i="27"/>
  <c r="D10" i="27"/>
  <c r="C10" i="27"/>
  <c r="D9" i="27"/>
  <c r="C9" i="27"/>
  <c r="D8" i="27"/>
  <c r="C8" i="27"/>
  <c r="D7" i="27"/>
  <c r="C7" i="27"/>
  <c r="D6" i="27"/>
  <c r="C6" i="27"/>
  <c r="D5" i="27"/>
  <c r="C5" i="27"/>
  <c r="Q4" i="27"/>
  <c r="D4" i="27"/>
  <c r="C4" i="27"/>
  <c r="Q3" i="27"/>
  <c r="H3" i="27"/>
  <c r="L4" i="27" s="1" a="1"/>
  <c r="L4" i="27" s="1"/>
  <c r="D3" i="27"/>
  <c r="C3" i="27"/>
  <c r="C9" i="26"/>
  <c r="C10" i="26"/>
  <c r="C11" i="26"/>
  <c r="C12" i="26"/>
  <c r="D9" i="26"/>
  <c r="D10" i="26"/>
  <c r="D11" i="26"/>
  <c r="D12" i="26"/>
  <c r="D8" i="26"/>
  <c r="C8" i="26"/>
  <c r="D7" i="26"/>
  <c r="C7" i="26"/>
  <c r="D6" i="26"/>
  <c r="C6" i="26"/>
  <c r="D5" i="26"/>
  <c r="C5" i="26"/>
  <c r="Q4" i="26"/>
  <c r="D4" i="26"/>
  <c r="C4" i="26"/>
  <c r="Q3" i="26"/>
  <c r="H3" i="26"/>
  <c r="L4" i="26" s="1" a="1"/>
  <c r="L4" i="26" s="1"/>
  <c r="D3" i="26"/>
  <c r="C3" i="26"/>
  <c r="D8" i="25"/>
  <c r="C8" i="25"/>
  <c r="D7" i="25"/>
  <c r="C7" i="25"/>
  <c r="D6" i="25"/>
  <c r="C6" i="25"/>
  <c r="D5" i="25"/>
  <c r="C5" i="25"/>
  <c r="Q4" i="25"/>
  <c r="D4" i="25"/>
  <c r="C4" i="25"/>
  <c r="Q3" i="25"/>
  <c r="H3" i="25"/>
  <c r="L4" i="25" s="1" a="1"/>
  <c r="L4" i="25" s="1"/>
  <c r="D3" i="25"/>
  <c r="C3" i="25"/>
  <c r="D8" i="22"/>
  <c r="C8" i="22"/>
  <c r="D7" i="22"/>
  <c r="C7" i="22"/>
  <c r="D6" i="22"/>
  <c r="C6" i="22"/>
  <c r="D5" i="22"/>
  <c r="C5" i="22"/>
  <c r="Q4" i="22"/>
  <c r="D4" i="22"/>
  <c r="C4" i="22"/>
  <c r="Q3" i="22"/>
  <c r="H3" i="22"/>
  <c r="L4" i="22" s="1" a="1"/>
  <c r="L4" i="22" s="1"/>
  <c r="D3" i="22"/>
  <c r="C3" i="22"/>
  <c r="D11" i="21"/>
  <c r="C11" i="21"/>
  <c r="D10" i="21"/>
  <c r="C10" i="21"/>
  <c r="D9" i="21"/>
  <c r="C9" i="21"/>
  <c r="D8" i="21"/>
  <c r="C8" i="21"/>
  <c r="D7" i="21"/>
  <c r="C7" i="21"/>
  <c r="D6" i="21"/>
  <c r="C6" i="21"/>
  <c r="D5" i="21"/>
  <c r="C5" i="21"/>
  <c r="Q4" i="21"/>
  <c r="D4" i="21"/>
  <c r="C4" i="21"/>
  <c r="Q3" i="21"/>
  <c r="H3" i="21"/>
  <c r="L4" i="21" s="1" a="1"/>
  <c r="L4" i="21" s="1"/>
  <c r="D3" i="21"/>
  <c r="C3" i="21"/>
  <c r="C11" i="20"/>
  <c r="C12" i="20"/>
  <c r="D11" i="20"/>
  <c r="D12" i="20"/>
  <c r="C7" i="20"/>
  <c r="C8" i="20"/>
  <c r="C9" i="20"/>
  <c r="C10" i="20"/>
  <c r="D8" i="20"/>
  <c r="D9" i="20"/>
  <c r="D10" i="20"/>
  <c r="D7" i="20"/>
  <c r="D6" i="20"/>
  <c r="C6" i="20"/>
  <c r="D5" i="20"/>
  <c r="C5" i="20"/>
  <c r="Q4" i="20"/>
  <c r="D4" i="20"/>
  <c r="C4" i="20"/>
  <c r="Q3" i="20"/>
  <c r="H3" i="20"/>
  <c r="L4" i="20" s="1" a="1"/>
  <c r="L4" i="20" s="1"/>
  <c r="D3" i="20"/>
  <c r="C3" i="20"/>
  <c r="D8" i="19"/>
  <c r="C8" i="19"/>
  <c r="D7" i="19"/>
  <c r="C7" i="19"/>
  <c r="D6" i="19"/>
  <c r="C6" i="19"/>
  <c r="D5" i="19"/>
  <c r="C5" i="19"/>
  <c r="D4" i="19"/>
  <c r="C4" i="19"/>
  <c r="Q3" i="19"/>
  <c r="Q1" i="19" s="1"/>
  <c r="H3" i="19"/>
  <c r="L4" i="19" s="1" a="1"/>
  <c r="L4" i="19" s="1"/>
  <c r="D3" i="19"/>
  <c r="C3" i="19"/>
  <c r="D10" i="18"/>
  <c r="C10" i="18"/>
  <c r="D9" i="18"/>
  <c r="C9" i="18"/>
  <c r="D8" i="18"/>
  <c r="C8" i="18"/>
  <c r="D7" i="18"/>
  <c r="C7" i="18"/>
  <c r="D6" i="18"/>
  <c r="C6" i="18"/>
  <c r="D5" i="18"/>
  <c r="C5" i="18"/>
  <c r="L4" i="18" a="1"/>
  <c r="L4" i="18" s="1"/>
  <c r="D4" i="18"/>
  <c r="C4" i="18"/>
  <c r="Q3" i="18"/>
  <c r="Q1" i="18" s="1"/>
  <c r="H3" i="18"/>
  <c r="D3" i="18"/>
  <c r="C3" i="18"/>
  <c r="C9" i="17"/>
  <c r="C10" i="17"/>
  <c r="D9" i="17"/>
  <c r="D10" i="17"/>
  <c r="D8" i="17"/>
  <c r="C8" i="17"/>
  <c r="D7" i="17"/>
  <c r="C7" i="17"/>
  <c r="D6" i="17"/>
  <c r="C6" i="17"/>
  <c r="D5" i="17"/>
  <c r="C5" i="17"/>
  <c r="L4" i="17" a="1"/>
  <c r="L4" i="17" s="1"/>
  <c r="D4" i="17"/>
  <c r="C4" i="17"/>
  <c r="Q3" i="17"/>
  <c r="Q1" i="17" s="1"/>
  <c r="H3" i="17"/>
  <c r="D3" i="17"/>
  <c r="C3" i="17"/>
  <c r="C8" i="16"/>
  <c r="D8" i="16"/>
  <c r="D7" i="16"/>
  <c r="C7" i="16"/>
  <c r="D6" i="16"/>
  <c r="C6" i="16"/>
  <c r="D5" i="16"/>
  <c r="C5" i="16"/>
  <c r="D4" i="16"/>
  <c r="C4" i="16"/>
  <c r="Q3" i="16"/>
  <c r="Q1" i="16" s="1"/>
  <c r="H3" i="16"/>
  <c r="L4" i="16" s="1" a="1"/>
  <c r="L4" i="16" s="1"/>
  <c r="D3" i="16"/>
  <c r="C3" i="16"/>
  <c r="C12" i="15"/>
  <c r="D12" i="15"/>
  <c r="C10" i="15"/>
  <c r="C11" i="15"/>
  <c r="D10" i="15"/>
  <c r="D11" i="15"/>
  <c r="D9" i="15"/>
  <c r="C9" i="15"/>
  <c r="D8" i="15"/>
  <c r="C8" i="15"/>
  <c r="D7" i="15"/>
  <c r="C7" i="15"/>
  <c r="D6" i="15"/>
  <c r="C6" i="15"/>
  <c r="D5" i="15"/>
  <c r="C5" i="15"/>
  <c r="L4" i="15" a="1"/>
  <c r="L4" i="15" s="1"/>
  <c r="D4" i="15"/>
  <c r="C4" i="15"/>
  <c r="Q3" i="15"/>
  <c r="Q1" i="15" s="1"/>
  <c r="H3" i="15"/>
  <c r="D3" i="15"/>
  <c r="C3" i="15"/>
  <c r="D9" i="14"/>
  <c r="C9" i="14"/>
  <c r="D8" i="14"/>
  <c r="C8" i="14"/>
  <c r="D7" i="14"/>
  <c r="C7" i="14"/>
  <c r="D6" i="14"/>
  <c r="C6" i="14"/>
  <c r="D5" i="14"/>
  <c r="C5" i="14"/>
  <c r="L4" i="14" a="1"/>
  <c r="L4" i="14" s="1"/>
  <c r="D4" i="14"/>
  <c r="C4" i="14"/>
  <c r="Q3" i="14"/>
  <c r="Q1" i="14" s="1"/>
  <c r="H3" i="14"/>
  <c r="D3" i="14"/>
  <c r="C3" i="14"/>
  <c r="D9" i="13"/>
  <c r="C9" i="13"/>
  <c r="D8" i="13"/>
  <c r="C8" i="13"/>
  <c r="D7" i="13"/>
  <c r="C7" i="13"/>
  <c r="D6" i="13"/>
  <c r="C6" i="13"/>
  <c r="D5" i="13"/>
  <c r="C5" i="13"/>
  <c r="D4" i="13"/>
  <c r="C4" i="13"/>
  <c r="Q3" i="13"/>
  <c r="H3" i="13"/>
  <c r="L4" i="13" s="1" a="1"/>
  <c r="L4" i="13" s="1"/>
  <c r="D3" i="13"/>
  <c r="C3" i="13"/>
  <c r="C3" i="12"/>
  <c r="D3" i="12"/>
  <c r="C4" i="12"/>
  <c r="D4" i="12"/>
  <c r="C5" i="12"/>
  <c r="D5" i="12"/>
  <c r="C6" i="12"/>
  <c r="D6" i="12"/>
  <c r="C7" i="12"/>
  <c r="D7" i="12"/>
  <c r="C8" i="12"/>
  <c r="D8" i="12"/>
  <c r="C9" i="12"/>
  <c r="D9" i="12"/>
  <c r="Q4" i="12"/>
  <c r="Q3" i="12"/>
  <c r="H3" i="12"/>
  <c r="L4" i="12" s="1" a="1"/>
  <c r="L4" i="12" s="1"/>
  <c r="C7" i="11"/>
  <c r="D7" i="11"/>
  <c r="D6" i="11"/>
  <c r="C6" i="11"/>
  <c r="D5" i="11"/>
  <c r="C5" i="11"/>
  <c r="Q4" i="11"/>
  <c r="D4" i="11"/>
  <c r="C4" i="11"/>
  <c r="Q3" i="11"/>
  <c r="H3" i="11"/>
  <c r="L4" i="11" s="1" a="1"/>
  <c r="L4" i="11" s="1"/>
  <c r="D3" i="11"/>
  <c r="C3" i="11"/>
  <c r="C13" i="10"/>
  <c r="C14" i="10"/>
  <c r="D13" i="10"/>
  <c r="D14" i="10"/>
  <c r="C12" i="10"/>
  <c r="D12" i="10"/>
  <c r="D11" i="10"/>
  <c r="C11" i="10"/>
  <c r="D10" i="10"/>
  <c r="C10" i="10"/>
  <c r="D9" i="10"/>
  <c r="C9" i="10"/>
  <c r="D8" i="10"/>
  <c r="C8" i="10"/>
  <c r="D7" i="10"/>
  <c r="C7" i="10"/>
  <c r="D6" i="10"/>
  <c r="C6" i="10"/>
  <c r="D5" i="10"/>
  <c r="C5" i="10"/>
  <c r="Q4" i="10"/>
  <c r="D4" i="10"/>
  <c r="C4" i="10"/>
  <c r="Q3" i="10"/>
  <c r="H3" i="10"/>
  <c r="L4" i="10" s="1" a="1"/>
  <c r="L4" i="10" s="1"/>
  <c r="D3" i="10"/>
  <c r="C3" i="10"/>
  <c r="D11" i="9"/>
  <c r="C11" i="9"/>
  <c r="D10" i="9"/>
  <c r="C10" i="9"/>
  <c r="D9" i="9"/>
  <c r="C9" i="9"/>
  <c r="D8" i="9"/>
  <c r="C8" i="9"/>
  <c r="D7" i="9"/>
  <c r="C7" i="9"/>
  <c r="D6" i="9"/>
  <c r="C6" i="9"/>
  <c r="D5" i="9"/>
  <c r="C5" i="9"/>
  <c r="Q4" i="9"/>
  <c r="D4" i="9"/>
  <c r="C4" i="9"/>
  <c r="Q3" i="9"/>
  <c r="H3" i="9"/>
  <c r="L4" i="9" s="1" a="1"/>
  <c r="L4" i="9" s="1"/>
  <c r="D3" i="9"/>
  <c r="C3" i="9"/>
  <c r="Q4" i="7"/>
  <c r="C6" i="8"/>
  <c r="C7" i="8"/>
  <c r="C8" i="8"/>
  <c r="C9" i="8"/>
  <c r="C10" i="8"/>
  <c r="C11" i="8"/>
  <c r="C12" i="8"/>
  <c r="D6" i="8"/>
  <c r="D7" i="8"/>
  <c r="D8" i="8"/>
  <c r="D9" i="8"/>
  <c r="D10" i="8"/>
  <c r="D11" i="8"/>
  <c r="D12" i="8"/>
  <c r="D5" i="8"/>
  <c r="C5" i="8"/>
  <c r="Q4" i="8"/>
  <c r="D4" i="8"/>
  <c r="C4" i="8"/>
  <c r="Q3" i="8"/>
  <c r="H3" i="8"/>
  <c r="L4" i="8" s="1" a="1"/>
  <c r="L4" i="8" s="1"/>
  <c r="D3" i="8"/>
  <c r="C3" i="8"/>
  <c r="C6" i="7"/>
  <c r="C7" i="7"/>
  <c r="C8" i="7"/>
  <c r="C9" i="7"/>
  <c r="C10" i="7"/>
  <c r="C11" i="7"/>
  <c r="C12" i="7"/>
  <c r="C13" i="7"/>
  <c r="D6" i="7"/>
  <c r="D7" i="7"/>
  <c r="D8" i="7"/>
  <c r="D9" i="7"/>
  <c r="D10" i="7"/>
  <c r="D11" i="7"/>
  <c r="D12" i="7"/>
  <c r="D13" i="7"/>
  <c r="D5" i="7"/>
  <c r="C5" i="7"/>
  <c r="D4" i="7"/>
  <c r="C4" i="7"/>
  <c r="Q3" i="7"/>
  <c r="H3" i="7"/>
  <c r="L4" i="7" s="1" a="1"/>
  <c r="L4" i="7" s="1"/>
  <c r="D3" i="7"/>
  <c r="C3" i="7"/>
  <c r="H3" i="4"/>
  <c r="Q3" i="4"/>
  <c r="Q4" i="4"/>
  <c r="Q5" i="4"/>
  <c r="D3" i="4"/>
  <c r="D4" i="4"/>
  <c r="D5" i="4"/>
  <c r="C5" i="4"/>
  <c r="L4" i="4" a="1"/>
  <c r="L4" i="4" s="1"/>
  <c r="C4" i="4"/>
  <c r="C3" i="4"/>
  <c r="C1" i="53" l="1"/>
  <c r="L2" i="53" s="1"/>
  <c r="H1" i="59"/>
  <c r="C1" i="59"/>
  <c r="H1" i="58"/>
  <c r="C1" i="58"/>
  <c r="C1" i="57"/>
  <c r="Q1" i="25"/>
  <c r="H1" i="55"/>
  <c r="Q1" i="29"/>
  <c r="H1" i="53"/>
  <c r="H1" i="57"/>
  <c r="C1" i="56"/>
  <c r="H1" i="56"/>
  <c r="C1" i="55"/>
  <c r="H1" i="54"/>
  <c r="C1" i="54"/>
  <c r="Q1" i="26"/>
  <c r="Q1" i="20"/>
  <c r="Q1" i="21"/>
  <c r="Q1" i="22"/>
  <c r="C1" i="6"/>
  <c r="D1" i="52"/>
  <c r="K4" i="52" s="1"/>
  <c r="M4" i="52" s="1"/>
  <c r="S3" i="52" s="1"/>
  <c r="D1" i="51"/>
  <c r="K4" i="51" s="1"/>
  <c r="M4" i="51" s="1"/>
  <c r="S3" i="51" s="1"/>
  <c r="D1" i="50"/>
  <c r="K4" i="50" s="1"/>
  <c r="M4" i="50" s="1"/>
  <c r="S3" i="50" s="1"/>
  <c r="D1" i="49"/>
  <c r="K4" i="49" s="1"/>
  <c r="M4" i="49" s="1"/>
  <c r="S3" i="49" s="1"/>
  <c r="D1" i="48"/>
  <c r="K4" i="48" s="1"/>
  <c r="M4" i="48" s="1"/>
  <c r="S3" i="48" s="1"/>
  <c r="D1" i="47"/>
  <c r="K4" i="47" s="1"/>
  <c r="M4" i="47" s="1"/>
  <c r="S3" i="47" s="1"/>
  <c r="D1" i="46"/>
  <c r="K4" i="46" s="1"/>
  <c r="M4" i="46" s="1"/>
  <c r="S3" i="46" s="1"/>
  <c r="D1" i="45"/>
  <c r="K4" i="45" s="1"/>
  <c r="M4" i="45" s="1"/>
  <c r="S3" i="45" s="1"/>
  <c r="D1" i="44"/>
  <c r="K4" i="44" s="1"/>
  <c r="M4" i="44" s="1"/>
  <c r="S3" i="44" s="1"/>
  <c r="Q1" i="43"/>
  <c r="D1" i="43"/>
  <c r="K4" i="43" s="1"/>
  <c r="M4" i="43" s="1"/>
  <c r="D1" i="41"/>
  <c r="K4" i="41" s="1"/>
  <c r="M4" i="41" s="1"/>
  <c r="S3" i="41" s="1"/>
  <c r="D1" i="40"/>
  <c r="K4" i="40" s="1"/>
  <c r="M4" i="40" s="1"/>
  <c r="S3" i="40" s="1"/>
  <c r="D1" i="39"/>
  <c r="K4" i="39" s="1"/>
  <c r="M4" i="39" s="1"/>
  <c r="S3" i="39" s="1"/>
  <c r="D1" i="38"/>
  <c r="K4" i="38" s="1"/>
  <c r="M4" i="38" s="1"/>
  <c r="S3" i="38" s="1"/>
  <c r="D1" i="37"/>
  <c r="K4" i="37" s="1"/>
  <c r="M4" i="37" s="1"/>
  <c r="S3" i="37" s="1"/>
  <c r="D1" i="36"/>
  <c r="K4" i="36" s="1"/>
  <c r="M4" i="36" s="1"/>
  <c r="S3" i="36" s="1"/>
  <c r="D1" i="35"/>
  <c r="K4" i="35" s="1"/>
  <c r="M4" i="35" s="1"/>
  <c r="S3" i="35" s="1"/>
  <c r="D1" i="34"/>
  <c r="K4" i="34" s="1"/>
  <c r="M4" i="34" s="1"/>
  <c r="S3" i="34" s="1"/>
  <c r="D1" i="33"/>
  <c r="K4" i="33" s="1"/>
  <c r="M4" i="33" s="1"/>
  <c r="S3" i="33" s="1"/>
  <c r="D1" i="32"/>
  <c r="K4" i="32" s="1"/>
  <c r="M4" i="32" s="1"/>
  <c r="S3" i="32" s="1"/>
  <c r="D1" i="31"/>
  <c r="K4" i="31" s="1"/>
  <c r="M4" i="31" s="1"/>
  <c r="S3" i="31" s="1"/>
  <c r="Q1" i="30"/>
  <c r="D1" i="30"/>
  <c r="K4" i="30" s="1"/>
  <c r="M4" i="30" s="1"/>
  <c r="D1" i="29"/>
  <c r="K4" i="29" s="1"/>
  <c r="M4" i="29" s="1"/>
  <c r="D1" i="28"/>
  <c r="K4" i="28" s="1"/>
  <c r="M4" i="28" s="1"/>
  <c r="S3" i="28" s="1"/>
  <c r="Q1" i="27"/>
  <c r="D1" i="27"/>
  <c r="K4" i="27" s="1"/>
  <c r="M4" i="27" s="1"/>
  <c r="D1" i="26"/>
  <c r="K4" i="26" s="1"/>
  <c r="M4" i="26" s="1"/>
  <c r="D1" i="25"/>
  <c r="K4" i="25" s="1"/>
  <c r="M4" i="25" s="1"/>
  <c r="D1" i="22"/>
  <c r="K4" i="22" s="1"/>
  <c r="M4" i="22" s="1"/>
  <c r="D1" i="21"/>
  <c r="K4" i="21" s="1"/>
  <c r="M4" i="21" s="1"/>
  <c r="D1" i="20"/>
  <c r="K4" i="20" s="1"/>
  <c r="M4" i="20" s="1"/>
  <c r="D1" i="19"/>
  <c r="K4" i="19" s="1"/>
  <c r="M4" i="19" s="1"/>
  <c r="S3" i="19" s="1"/>
  <c r="D1" i="18"/>
  <c r="K4" i="18" s="1"/>
  <c r="M4" i="18" s="1"/>
  <c r="S3" i="18" s="1"/>
  <c r="D1" i="17"/>
  <c r="K4" i="17" s="1"/>
  <c r="M4" i="17" s="1"/>
  <c r="S3" i="17" s="1"/>
  <c r="D1" i="16"/>
  <c r="K4" i="16" s="1"/>
  <c r="M4" i="16" s="1"/>
  <c r="S3" i="16" s="1"/>
  <c r="D1" i="15"/>
  <c r="K4" i="15" s="1"/>
  <c r="M4" i="15" s="1"/>
  <c r="S3" i="15" s="1"/>
  <c r="D1" i="14"/>
  <c r="K4" i="14" s="1"/>
  <c r="M4" i="14" s="1"/>
  <c r="S3" i="14" s="1"/>
  <c r="Q1" i="13"/>
  <c r="D1" i="13"/>
  <c r="K4" i="13" s="1"/>
  <c r="M4" i="13" s="1"/>
  <c r="Q1" i="12"/>
  <c r="D1" i="12"/>
  <c r="K4" i="12" s="1"/>
  <c r="M4" i="12" s="1"/>
  <c r="D1" i="11"/>
  <c r="K4" i="11" s="1"/>
  <c r="M4" i="11" s="1"/>
  <c r="Q1" i="11"/>
  <c r="Q1" i="10"/>
  <c r="D1" i="10"/>
  <c r="K4" i="10" s="1"/>
  <c r="M4" i="10" s="1"/>
  <c r="Q1" i="9"/>
  <c r="D1" i="9"/>
  <c r="K4" i="9" s="1"/>
  <c r="M4" i="9" s="1"/>
  <c r="Q1" i="7"/>
  <c r="Q1" i="8"/>
  <c r="D1" i="8"/>
  <c r="K4" i="8" s="1"/>
  <c r="M4" i="8" s="1"/>
  <c r="D1" i="7"/>
  <c r="K4" i="7" s="1"/>
  <c r="M4" i="7" s="1"/>
  <c r="Q1" i="4"/>
  <c r="D1" i="4"/>
  <c r="K4" i="4" s="1"/>
  <c r="M4" i="4" s="1"/>
  <c r="H1" i="6"/>
  <c r="K2" i="59" l="1"/>
  <c r="L2" i="58"/>
  <c r="L2" i="57"/>
  <c r="S3" i="25"/>
  <c r="L2" i="55"/>
  <c r="S3" i="29"/>
  <c r="S3" i="13"/>
  <c r="S3" i="7"/>
  <c r="L2" i="56"/>
  <c r="L2" i="54"/>
  <c r="S3" i="22"/>
  <c r="S3" i="9"/>
  <c r="S3" i="26"/>
  <c r="S3" i="27"/>
  <c r="S3" i="20"/>
  <c r="S3" i="21"/>
  <c r="S3" i="12"/>
  <c r="L2" i="6"/>
  <c r="S3" i="43"/>
  <c r="S3" i="30"/>
  <c r="S3" i="11"/>
  <c r="S3" i="10"/>
  <c r="S3" i="8"/>
  <c r="S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<sst xmlns="http://schemas.openxmlformats.org/spreadsheetml/2006/main" count="1866" uniqueCount="238">
  <si>
    <t>חומר גלם</t>
  </si>
  <si>
    <t>עלות רכישה</t>
  </si>
  <si>
    <t>כמות באריזה</t>
  </si>
  <si>
    <t>יחידת מידה</t>
  </si>
  <si>
    <t>גרם</t>
  </si>
  <si>
    <t>עלות</t>
  </si>
  <si>
    <t>כמות במתכון</t>
  </si>
  <si>
    <t>עלות למתכון</t>
  </si>
  <si>
    <t>מרכיבים</t>
  </si>
  <si>
    <t>עבודה</t>
  </si>
  <si>
    <t>שעות עבודה</t>
  </si>
  <si>
    <t>עלות לשעת עבודה</t>
  </si>
  <si>
    <t>עלות עבודה</t>
  </si>
  <si>
    <t>כמות יחידות</t>
  </si>
  <si>
    <t>חומרים</t>
  </si>
  <si>
    <t>סה"כ</t>
  </si>
  <si>
    <t>עלות ליחידה</t>
  </si>
  <si>
    <t>מוצר</t>
  </si>
  <si>
    <t>מוצרים</t>
  </si>
  <si>
    <t>כמות במארז</t>
  </si>
  <si>
    <t>אריזה</t>
  </si>
  <si>
    <t>כמות</t>
  </si>
  <si>
    <t>עלות מארז</t>
  </si>
  <si>
    <t>מחשבון תמחור מוצרים ומארזים</t>
  </si>
  <si>
    <t>חומרי גלם</t>
  </si>
  <si>
    <t>אריזות</t>
  </si>
  <si>
    <t>מארזים</t>
  </si>
  <si>
    <t>חזרה לתפריט</t>
  </si>
  <si>
    <t>בגיליון זה איספו  את כל חומרי הגלם שאתם משתמשים בהם ואת המחיר בו אתם קונים אותם</t>
  </si>
  <si>
    <t>בגיליון זה הזינו את האריזות ואביזרי האריזה בהם אתם משתמשים</t>
  </si>
  <si>
    <t>עלות ליחידה תחושב על בסיס החומרים הנדרשים לייצור יחידה אחת וכן עלות העבודה הנדרשת</t>
  </si>
  <si>
    <t>גיליון מוצרים מוגמרים - מחיר יחידה מוגמרת של מוצר אותו אתם עתידים למכור</t>
  </si>
  <si>
    <t>חישוב עלות למארז על בסיס עלות המוצרים המרכיבים אותו ומחיר האריזה</t>
  </si>
  <si>
    <t>מחיר כולל ליחדה</t>
  </si>
  <si>
    <t>פצפוצי אורז</t>
  </si>
  <si>
    <t>שמנת מתוקה 38%</t>
  </si>
  <si>
    <t>מחית קינדר בואנו</t>
  </si>
  <si>
    <t>פררו רושה</t>
  </si>
  <si>
    <t>אוריאו רגיל</t>
  </si>
  <si>
    <t>אוריאו דאבל</t>
  </si>
  <si>
    <t>לוטוס ביסקוויט</t>
  </si>
  <si>
    <t>קינדר בואנו לבן וחום(שלישייה)39*3</t>
  </si>
  <si>
    <t>ג'לטין</t>
  </si>
  <si>
    <t>קמח לבן מנופה</t>
  </si>
  <si>
    <t>קמח שקדים</t>
  </si>
  <si>
    <t>קמח כוסמין</t>
  </si>
  <si>
    <t>קמח חיטה מלאה</t>
  </si>
  <si>
    <t>קמח תופח</t>
  </si>
  <si>
    <t>סוכר לבן</t>
  </si>
  <si>
    <t>סוכר חום גולדן</t>
  </si>
  <si>
    <t>סוכר חום דמררה</t>
  </si>
  <si>
    <t>סוכר חום כהה</t>
  </si>
  <si>
    <t>מלח</t>
  </si>
  <si>
    <t>מלח גס</t>
  </si>
  <si>
    <t>קקאו</t>
  </si>
  <si>
    <t>תמצית וניל</t>
  </si>
  <si>
    <t>אבקת אפייה</t>
  </si>
  <si>
    <t>סוכר וניל</t>
  </si>
  <si>
    <t>אבקת סוכר</t>
  </si>
  <si>
    <t>סודה לשתייה</t>
  </si>
  <si>
    <t>גלידן</t>
  </si>
  <si>
    <t>שמנת צמחית 21%</t>
  </si>
  <si>
    <t xml:space="preserve">איסטנט פודינט </t>
  </si>
  <si>
    <t>שמן</t>
  </si>
  <si>
    <t>שוקולד צ'יפס לבן</t>
  </si>
  <si>
    <t>שוקולד צ'יפס חום</t>
  </si>
  <si>
    <t>חלב רגיל 3%</t>
  </si>
  <si>
    <t>חלב נטול לקטוז</t>
  </si>
  <si>
    <t>חלב סויה</t>
  </si>
  <si>
    <t>קרם קוקוס</t>
  </si>
  <si>
    <t>שמרים יבשים</t>
  </si>
  <si>
    <t>שמרים טריים</t>
  </si>
  <si>
    <t>שמרים טריים ומשפר אפייה</t>
  </si>
  <si>
    <t>חמאה תנובה</t>
  </si>
  <si>
    <t>חמאה מפינלנד</t>
  </si>
  <si>
    <t>ממרח קינדר(סופר)</t>
  </si>
  <si>
    <t>יחידות</t>
  </si>
  <si>
    <t>מיליליטר</t>
  </si>
  <si>
    <t>אצבעות קינדר</t>
  </si>
  <si>
    <t>קופסאות 40/30/8</t>
  </si>
  <si>
    <t>קופסא לאינגליש מכסה גבוה</t>
  </si>
  <si>
    <t>קופסא מלבנית מחולקת 20/11/5</t>
  </si>
  <si>
    <t>חלוקה פנימית לקופסא 20/20/5</t>
  </si>
  <si>
    <t>קופסא ל6 קאפקייקס כולל במה</t>
  </si>
  <si>
    <t>קופסא 30/30/11 כולל תחתית פנימית</t>
  </si>
  <si>
    <t>מנג'טים לקאפקייקס צבעים -קוטר 7</t>
  </si>
  <si>
    <t>קריסטליות עיגול - 10 ס"מ</t>
  </si>
  <si>
    <t>קריסטליות עיגול - 16 ס"מ</t>
  </si>
  <si>
    <t>קופסא 24/24/13</t>
  </si>
  <si>
    <t>קופסא 25/35/7 עם מכסה גבוה 8.5 ס"מ</t>
  </si>
  <si>
    <t>קופסא 25/35/7 עם מכסה גבוה + 5 במות 20 קינוחים</t>
  </si>
  <si>
    <t>חתום בנשיקה</t>
  </si>
  <si>
    <t>הכי מתוק שיש</t>
  </si>
  <si>
    <t>מארז 20/20/5</t>
  </si>
  <si>
    <t>מארז חלוקה מכסה</t>
  </si>
  <si>
    <t>ברולה -לב אישי</t>
  </si>
  <si>
    <t>קריסטל לב קוטר 16</t>
  </si>
  <si>
    <t>ביצים M</t>
  </si>
  <si>
    <t>ביצים L</t>
  </si>
  <si>
    <t>קרטון בנטו</t>
  </si>
  <si>
    <t>אלומיניום מיני אינגליש קייק ומכסה 16/6</t>
  </si>
  <si>
    <t>קריסטליות פלסטיק למארז+מכסה 16</t>
  </si>
  <si>
    <t>דורין כהן</t>
  </si>
  <si>
    <t>Column1</t>
  </si>
  <si>
    <t>מאיפה נקנה</t>
  </si>
  <si>
    <t>קופסת פרלינים 16 תאים</t>
  </si>
  <si>
    <t>Temu</t>
  </si>
  <si>
    <t>קופסת קאפקייקס 4 תאים</t>
  </si>
  <si>
    <t>מיכל פרוסת עוגה זהב בודד</t>
  </si>
  <si>
    <t>קופסת קאפקייקס 6 תאים</t>
  </si>
  <si>
    <t>קופסת עוגת בנטו עם חלון וידית</t>
  </si>
  <si>
    <t>קופסת עוגה 25/20/25 או 20/20/6</t>
  </si>
  <si>
    <t>מארז עוגה 25/20/25</t>
  </si>
  <si>
    <t>קופסת מקרון 30/5/5</t>
  </si>
  <si>
    <t>מארז קאפקייקס 6 תאים מכסה שקוף</t>
  </si>
  <si>
    <t>קופסה לעוגיות עם חלון שקוף</t>
  </si>
  <si>
    <t>עוגיות אמסטרדם</t>
  </si>
  <si>
    <t>שוקולד מריר מהדרין</t>
  </si>
  <si>
    <t>שוקולד חלב מהדרין</t>
  </si>
  <si>
    <t>שוקולד לבן מהדרין</t>
  </si>
  <si>
    <t>צמקאו לבן פרווה</t>
  </si>
  <si>
    <t>צמקאו חום פרווה</t>
  </si>
  <si>
    <t>גלוקוזה</t>
  </si>
  <si>
    <t>מחית וניל</t>
  </si>
  <si>
    <t>מטרפה</t>
  </si>
  <si>
    <t>ניירר אפייה עגול - 20</t>
  </si>
  <si>
    <t>נייר אפייה ריבוע 60*40</t>
  </si>
  <si>
    <t>נייר אפייה - סופגניות</t>
  </si>
  <si>
    <t xml:space="preserve">צבע מאכל קולור מיל </t>
  </si>
  <si>
    <t>צבע מאכל מג'יק קולורס</t>
  </si>
  <si>
    <t>צבע מאכל מנדלברג</t>
  </si>
  <si>
    <t>מדבקות כיתוב</t>
  </si>
  <si>
    <t>טופר ימי הולדת</t>
  </si>
  <si>
    <t>נייר אפייה בנטו 18*18</t>
  </si>
  <si>
    <t>סוכריות ארוכות בצבעים</t>
  </si>
  <si>
    <t>סוכריות מיקס צבעים מיוחדות</t>
  </si>
  <si>
    <t>סוכריות פנינים</t>
  </si>
  <si>
    <t>סוכריות שלג צבעוני</t>
  </si>
  <si>
    <t>סוכריות צורות מיוחדות</t>
  </si>
  <si>
    <t>אבקת נצנצים</t>
  </si>
  <si>
    <t>צבע מאכל לאייבראש</t>
  </si>
  <si>
    <t>נרות מיני 7.5</t>
  </si>
  <si>
    <t>כפיות מיני</t>
  </si>
  <si>
    <t>דפים אכילים בצבעים</t>
  </si>
  <si>
    <t>עוגיות שוקולד צ'יפס מושחתות</t>
  </si>
  <si>
    <t>ממרח spread it</t>
  </si>
  <si>
    <t>ביסקוויטים פתיבר</t>
  </si>
  <si>
    <t>פרלין שוקולד</t>
  </si>
  <si>
    <t>קורנפלקס מצופה שוקולד</t>
  </si>
  <si>
    <t>פניני קראנץ' חלבי</t>
  </si>
  <si>
    <t>סוכריות עדשי שוקולד פרווה</t>
  </si>
  <si>
    <t>חיתוכיות פררו רושה</t>
  </si>
  <si>
    <t>קורנפלור</t>
  </si>
  <si>
    <t>במבה</t>
  </si>
  <si>
    <t>קורנפלקס אלופים</t>
  </si>
  <si>
    <t>נוטלה</t>
  </si>
  <si>
    <t xml:space="preserve">חמאת בוטנים </t>
  </si>
  <si>
    <t>מגולגלות במבה נוגט</t>
  </si>
  <si>
    <t>פרליני שוקולד חמאת בוטנים</t>
  </si>
  <si>
    <t>טריקולד</t>
  </si>
  <si>
    <t>לואקר</t>
  </si>
  <si>
    <t>חמאת קקאו</t>
  </si>
  <si>
    <t>כדורי לואקר</t>
  </si>
  <si>
    <t>כדורי אוריאו</t>
  </si>
  <si>
    <t>פיסטוק</t>
  </si>
  <si>
    <t>אגוזי מלך</t>
  </si>
  <si>
    <t>קשיו</t>
  </si>
  <si>
    <t>בצק עלים</t>
  </si>
  <si>
    <t>בצק פילו</t>
  </si>
  <si>
    <t>עוגיות חמאה פיסטוק</t>
  </si>
  <si>
    <t>כדורי קינדר בואנו</t>
  </si>
  <si>
    <t>עוגיות שלג</t>
  </si>
  <si>
    <t>עוגת ביסקוויטים פיסטוק</t>
  </si>
  <si>
    <t>נקניק שוקולד חום לבן</t>
  </si>
  <si>
    <t>מיני דונאטס (מולטיקייק)</t>
  </si>
  <si>
    <t>רוגלך קטנים</t>
  </si>
  <si>
    <t>אבקת הפלא</t>
  </si>
  <si>
    <t>נטורינה</t>
  </si>
  <si>
    <t>מחמאה</t>
  </si>
  <si>
    <t>קינדר ג'וי ביתי</t>
  </si>
  <si>
    <t>אפיפיות עלית</t>
  </si>
  <si>
    <t>נקניק שוקולד לבן קינדר</t>
  </si>
  <si>
    <t>קוקוס</t>
  </si>
  <si>
    <t>בראוניז אמסטרדם</t>
  </si>
  <si>
    <t>מגולגלות פיסטוק</t>
  </si>
  <si>
    <t>טחינה גולמית</t>
  </si>
  <si>
    <t>בקלאווה אגוזים</t>
  </si>
  <si>
    <t>בקלאווה טחינה</t>
  </si>
  <si>
    <t>מייפל</t>
  </si>
  <si>
    <t>קרם ברולה אישי בקופסא</t>
  </si>
  <si>
    <t>עוגת מוס קינדר 16</t>
  </si>
  <si>
    <t>היפו קינדר</t>
  </si>
  <si>
    <t xml:space="preserve">צנצנות מוס אישי </t>
  </si>
  <si>
    <t>חלב מרוכז</t>
  </si>
  <si>
    <t>מיני דונאטס(עדי כהן)</t>
  </si>
  <si>
    <t>מגולגלות קינדר</t>
  </si>
  <si>
    <t>מוס 16</t>
  </si>
  <si>
    <t>מוס 20</t>
  </si>
  <si>
    <t>מוס 24</t>
  </si>
  <si>
    <t>בראוניז MIRMIS</t>
  </si>
  <si>
    <t>עוגת שוקולד שלי</t>
  </si>
  <si>
    <t>עוגת שוקולד בלי ביצים</t>
  </si>
  <si>
    <t>חומץ</t>
  </si>
  <si>
    <t>20 מינימום</t>
  </si>
  <si>
    <t>Column2</t>
  </si>
  <si>
    <t>גדול ב45</t>
  </si>
  <si>
    <t>25 ליח</t>
  </si>
  <si>
    <t>55 ליח'</t>
  </si>
  <si>
    <t>200 נקי</t>
  </si>
  <si>
    <t>בייגלה אישי 10</t>
  </si>
  <si>
    <t xml:space="preserve">מינ 15 </t>
  </si>
  <si>
    <t>מארז 400</t>
  </si>
  <si>
    <t>מיני מגנום בסיסי</t>
  </si>
  <si>
    <t>גדול 20</t>
  </si>
  <si>
    <t>כללי קטן</t>
  </si>
  <si>
    <t>כללי בינוני</t>
  </si>
  <si>
    <t>כללי גדול</t>
  </si>
  <si>
    <t>אוזן המן מירי כץ וניל</t>
  </si>
  <si>
    <t>אוזן המן מירי כץ קקאו</t>
  </si>
  <si>
    <t>אוזן המן מירי כץ פיסטוק</t>
  </si>
  <si>
    <t>שוקולית</t>
  </si>
  <si>
    <t>ריבת חלב קומידה</t>
  </si>
  <si>
    <t>אלפחורס</t>
  </si>
  <si>
    <t>אלפחורס קקאו</t>
  </si>
  <si>
    <t>אגוזי לוז קצוצים</t>
  </si>
  <si>
    <t xml:space="preserve">עוגיות בראוניז פורים </t>
  </si>
  <si>
    <t>דפי טרנספר</t>
  </si>
  <si>
    <t>נשיקות מרנג</t>
  </si>
  <si>
    <t>חטיף שוגי</t>
  </si>
  <si>
    <t xml:space="preserve">עוגיות חמאה </t>
  </si>
  <si>
    <t>.</t>
  </si>
  <si>
    <t>עוגת שוקולד אישית(קטן)</t>
  </si>
  <si>
    <t>עוגת שוקולד אישית(גדול)</t>
  </si>
  <si>
    <t>מסכות</t>
  </si>
  <si>
    <t>סטוקי</t>
  </si>
  <si>
    <t>כיבודיות</t>
  </si>
  <si>
    <t>מתנה</t>
  </si>
  <si>
    <t>תשלום-25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</si>
</sst>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</font>
    <font>
      <u/>
      <sz val="14"/>
      <color theme="10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thick">
        <color theme="0"/>
      </bottom>
      <diagonal/>
    </border>
    <border>
      <left style="medium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thick">
        <color theme="0"/>
      </bottom>
      <diagonal/>
    </border>
    <border>
      <left/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7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  <xf numFmtId="0" fontId="4" fillId="0" borderId="0" xfId="1" applyFont="1"/>
    <xf numFmtId="0" fontId="6" fillId="0" borderId="0" xfId="0" applyFont="1"/>
    <xf numFmtId="0" fontId="3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5" fillId="8" borderId="4" xfId="0" applyFont="1" applyFill="1" applyBorder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0" fontId="6" fillId="7" borderId="8" xfId="0" applyFont="1" applyFill="1" applyBorder="1" applyAlignment="1">
      <alignment horizontal="center"/>
    </xf>
    <xf numFmtId="0" fontId="3" fillId="6" borderId="0" xfId="0" applyFont="1" applyFill="1"/>
    <xf numFmtId="0" fontId="3" fillId="2" borderId="5" xfId="0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3" fillId="0" borderId="9" xfId="0" applyFont="1" applyBorder="1"/>
    <xf numFmtId="0" fontId="3" fillId="0" borderId="11" xfId="0" applyFont="1" applyBorder="1"/>
    <xf numFmtId="0" fontId="3" fillId="0" borderId="0" xfId="0" applyFont="1" applyAlignment="1">
      <alignment horizontal="right"/>
    </xf>
    <xf numFmtId="0" fontId="5" fillId="5" borderId="3" xfId="0" applyFont="1" applyFill="1" applyBorder="1" applyAlignment="1">
      <alignment horizontal="center"/>
    </xf>
    <xf numFmtId="0" fontId="5" fillId="5" borderId="0" xfId="0" applyFont="1" applyFill="1" applyAlignment="1">
      <alignment horizontal="center" vertical="top"/>
    </xf>
    <xf numFmtId="0" fontId="5" fillId="5" borderId="2" xfId="0" applyFont="1" applyFill="1" applyBorder="1" applyAlignment="1">
      <alignment horizontal="center" vertical="top"/>
    </xf>
    <xf numFmtId="0" fontId="3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803"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fill>
        <patternFill patternType="solid">
          <fgColor indexed="64"/>
          <bgColor theme="0" tint="-0.14999847407452621"/>
        </patternFill>
      </fill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  <alignment horizontal="right" vertical="bottom" textRotation="0" wrapText="0" indent="0" justifyLastLine="0" shrinkToFit="0" readingOrder="0"/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strike val="0"/>
        <outline val="0"/>
        <shadow val="0"/>
        <vertAlign val="baseline"/>
        <sz val="14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border diagonalUp="0" diagonalDown="0">
        <left style="hair">
          <color indexed="8"/>
        </left>
        <right style="hair">
          <color indexed="8"/>
        </right>
        <top style="hair">
          <color indexed="8"/>
        </top>
        <bottom style="hair">
          <color indexed="8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61" Type="http://schemas.microsoft.com/office/2017/10/relationships/person" Target="persons/perso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FBDDD6-899B-4B52-AF06-1BF97915DF81}" name="Ingredients" displayName="Ingredients" ref="A1:D103" totalsRowShown="0" headerRowDxfId="802" dataDxfId="801">
  <autoFilter ref="A1:D103" xr:uid="{C7FBDDD6-899B-4B52-AF06-1BF97915DF81}"/>
  <tableColumns count="4">
    <tableColumn id="1" xr3:uid="{8554B66A-2164-4DAE-AAB2-5C023E6055B6}" name="חומר גלם" dataDxfId="800"/>
    <tableColumn id="2" xr3:uid="{00798A84-62D1-4B0D-B233-D640AAFE3CEC}" name="עלות רכישה" dataDxfId="799"/>
    <tableColumn id="3" xr3:uid="{E3530052-BE95-49F0-9D37-89C113F7BB6B}" name="כמות באריזה" dataDxfId="798"/>
    <tableColumn id="4" xr3:uid="{64A604DB-766B-4777-AE27-CE81BEBAFFAF}" name="יחידת מידה" dataDxfId="797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4E18BA-986F-44E0-B5A0-FF5149581A7F}" name="Packages" displayName="Packages" ref="A1:D36" totalsRowShown="0" headerRowDxfId="796" dataDxfId="795">
  <autoFilter ref="A1:D36" xr:uid="{9B4E18BA-986F-44E0-B5A0-FF5149581A7F}"/>
  <tableColumns count="4">
    <tableColumn id="1" xr3:uid="{A279E556-68EC-4DD6-B3E0-9D65544CD9CF}" name="מוצר" dataDxfId="794"/>
    <tableColumn id="2" xr3:uid="{D05E82D2-C6B7-4221-BD7A-06A82339B2EF}" name="עלות" dataDxfId="793"/>
    <tableColumn id="3" xr3:uid="{A011EE9A-F4AE-48BD-922A-45030BA72B0E}" name="כמות באריזה" dataDxfId="792"/>
    <tableColumn id="4" xr3:uid="{66104BC1-7011-4B9B-BD5C-73B1C3F2C44C}" name="מאיפה נקנה" dataDxfId="791"/>
  </tableColumns>
  <tableStyleInfo name="TableStyleMedium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6E45FA-E11E-4A9C-88C7-88A6D81BC9D2}" name="Recipe" displayName="Recipe" ref="A2:D5" totalsRowShown="0" headerRowDxfId="790" dataDxfId="789">
  <autoFilter ref="A2:D5" xr:uid="{CB6E45FA-E11E-4A9C-88C7-88A6D81BC9D2}"/>
  <tableColumns count="4">
    <tableColumn id="1" xr3:uid="{BDBAA01C-14BF-4938-8018-DC4FF93CE113}" name="חומר גלם" dataDxfId="788"/>
    <tableColumn id="2" xr3:uid="{0F512413-A647-46A3-B1D4-4714CBD215A0}" name="כמות במתכון" dataDxfId="787"/>
    <tableColumn id="3" xr3:uid="{39C3228F-6CC2-4088-8151-7293C6BE3891}" name="יחידת מידה" dataDxfId="786">
      <calculatedColumnFormula>VLOOKUP(Recipe[[#This Row],[חומר גלם]],'חומרי גלם'!A:D,4,0)</calculatedColumnFormula>
    </tableColumn>
    <tableColumn id="4" xr3:uid="{17E548F9-16AC-4682-B971-3FA71F73DFAF}" name="עלות למתכון" dataDxfId="785">
      <calculatedColumnFormula>ROUNDUP(Recipe[[#This Row],[כמות במתכון]]*VLOOKUP(Recipe[[#This Row],[חומר גלם]],'חומרי גלם'!A:D,2,0)/VLOOKUP(Recipe[[#This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8C41056-C926-43F5-B200-BF554B577C99}" name="Work" displayName="Work" ref="F2:H3" totalsRowShown="0" headerRowDxfId="784" dataDxfId="783">
  <autoFilter ref="F2:H3" xr:uid="{D8C41056-C926-43F5-B200-BF554B577C99}"/>
  <tableColumns count="3">
    <tableColumn id="1" xr3:uid="{C94F5956-F318-4FB1-A6D3-33C50D7CAA89}" name="שעות עבודה" dataDxfId="782"/>
    <tableColumn id="2" xr3:uid="{FB209CA2-C79E-4421-9259-7DBF92986851}" name="עלות לשעת עבודה" dataDxfId="781"/>
    <tableColumn id="3" xr3:uid="{A39C4393-70FC-40CA-A843-93C27CEB139C}" name="עלות עבודה" dataDxfId="780">
      <calculatedColumnFormula>Work[[#This Row],[עלות לשעת עבודה]]*Work[[#This Row],[שעות עבודה]]</calculatedColumnFormula>
    </tableColumn>
  </tableColumns>
  <tableStyleInfo name="TableStyleMedium1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D8D31A1-E39A-4205-8A52-296A8CA9E240}" name="SinglePack" displayName="SinglePack" ref="O2:Q5" totalsRowShown="0" headerRowDxfId="779" dataDxfId="778">
  <autoFilter ref="O2:Q5" xr:uid="{3D8D31A1-E39A-4205-8A52-296A8CA9E240}"/>
  <tableColumns count="3">
    <tableColumn id="1" xr3:uid="{CF3C7982-A2CF-4E8F-A893-129DE4952F62}" name="מוצר" dataDxfId="777"/>
    <tableColumn id="2" xr3:uid="{FC82DDEB-E505-46A6-B562-7345AA41EDCA}" name="כמות" dataDxfId="776"/>
    <tableColumn id="3" xr3:uid="{8563B8DE-93BF-4199-87C7-F72D8E8C3627}" name="עלות" dataDxfId="775">
      <calculatedColumnFormula>ROUNDUP(VLOOKUP(SinglePack[[#This Row],[מוצר]],אריזות!A:C,2,0)/VLOOKUP(SinglePack[[#This Row],[מוצר]],אריזות!A:C,3,0)*SinglePack[[#This Row],[כמות]],2)</calculatedColumnFormula>
    </tableColumn>
  </tableColumns>
  <tableStyleInfo name="TableStyleMedium13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F1403D3-A6EC-43A2-B30C-E215A1B28A39}" name="Products" displayName="Products" ref="A1:D48" totalsRowShown="0" headerRowDxfId="774" dataDxfId="773">
  <autoFilter ref="A1:D48" xr:uid="{EF1403D3-A6EC-43A2-B30C-E215A1B28A39}"/>
  <tableColumns count="4">
    <tableColumn id="1" xr3:uid="{CEC5B64E-6D9C-4AA1-A6CE-160B8154E3FD}" name="מוצר" dataDxfId="772"/>
    <tableColumn id="2" xr3:uid="{4D7B379A-9CCA-4A78-8D21-9CF26A42E92A}" name="עלות ליחידה" dataDxfId="771"/>
    <tableColumn id="3" xr3:uid="{93F320B8-1788-47DC-8A17-1A163DDAFACC}" name="Column1" dataDxfId="770"/>
    <tableColumn id="4" xr3:uid="{BD1CE8FD-5C29-4D03-BAB8-06BBC3ABFAEA}" name="Column2" dataDxfId="769"/>
  </tableColumns>
  <tableStyleInfo name="TableStyleMedium1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6B2DD4B-1009-4CDE-97AD-8B781131C4C7}" name="Table6" displayName="Table6" ref="A2:C10" totalsRowShown="0" headerRowDxfId="768" dataDxfId="767">
  <autoFilter ref="A2:C10" xr:uid="{16B2DD4B-1009-4CDE-97AD-8B781131C4C7}"/>
  <tableColumns count="3">
    <tableColumn id="1" xr3:uid="{1DFDE1F1-8590-4830-9635-E841042BB0FF}" name="מוצר" dataDxfId="766"/>
    <tableColumn id="2" xr3:uid="{9178740F-2602-40AA-9A23-D32D500162DD}" name="כמות במארז" dataDxfId="765"/>
    <tableColumn id="3" xr3:uid="{1E9A2FD7-709F-47EF-88AE-F3DB286FCE73}" name="עלות" dataDxfId="764"/>
  </tableColumns>
  <tableStyleInfo name="TableStyleMedium13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60961F29-705D-40BF-9845-578578FF7E0B}" name="Table7" displayName="Table7" ref="F2:H4" totalsRowShown="0" headerRowDxfId="763" dataDxfId="762">
  <autoFilter ref="F2:H4" xr:uid="{60961F29-705D-40BF-9845-578578FF7E0B}"/>
  <tableColumns count="3">
    <tableColumn id="1" xr3:uid="{CCE407A2-4619-4F98-8472-C87CD60F3B80}" name="מוצר" dataDxfId="761"/>
    <tableColumn id="2" xr3:uid="{8CE82119-40AF-460B-88F6-050229D444F2}" name="כמות" dataDxfId="760"/>
    <tableColumn id="3" xr3:uid="{49E58129-0C0C-4AAD-BC63-EBB5FAB821B2}" name="עלות" dataDxfId="759"/>
  </tableColumns>
  <tableStyleInfo name="TableStyleMedium13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17A2AA99-3986-4C83-926F-FC20B25DCECB}" name="Table7140150152" displayName="Table7140150152" ref="F2:H4" totalsRowShown="0" headerRowDxfId="758" dataDxfId="757">
  <autoFilter ref="F2:H4" xr:uid="{60961F29-705D-40BF-9845-578578FF7E0B}"/>
  <tableColumns count="3">
    <tableColumn id="1" xr3:uid="{39C7DAAA-0A16-4E49-9CE0-1891B31CC6E1}" name="מוצר" dataDxfId="756"/>
    <tableColumn id="2" xr3:uid="{A6244CF5-18EA-430A-BC7D-93E5C88E7B9B}" name="כמות" dataDxfId="755"/>
    <tableColumn id="3" xr3:uid="{1F216A47-2173-4D9D-AB24-3BA2DA1585D3}" name="עלות" dataDxfId="754">
      <calculatedColumnFormula>ROUNDUP(VLOOKUP(Table7140150152[[#This Row],[מוצר]],אריזות!A:C,2,0)/VLOOKUP(Table7140150152[[#This Row],[מוצר]],אריזות!A:C,3,0)*Table7140150152[[#This Row],[כמות]],2)</calculatedColumnFormula>
    </tableColumn>
  </tableColumns>
  <tableStyleInfo name="TableStyleMedium13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29C39B9B-7520-4220-8F02-A1F978E611BF}" name="Table6139149151" displayName="Table6139149151" ref="A2:C11" totalsRowShown="0" headerRowDxfId="753" dataDxfId="752">
  <autoFilter ref="A2:C11" xr:uid="{16B2DD4B-1009-4CDE-97AD-8B781131C4C7}"/>
  <tableColumns count="3">
    <tableColumn id="1" xr3:uid="{6D4534E2-909E-402A-A8D3-C552F90E966B}" name="מוצר" dataDxfId="751"/>
    <tableColumn id="2" xr3:uid="{F6726B60-82E9-4DA6-9B72-C4CCF7BDA168}" name="כמות במארז" dataDxfId="750"/>
    <tableColumn id="3" xr3:uid="{30EF27AA-990C-418F-BA10-48AC17030979}" name="עלות" dataDxfId="749">
      <calculatedColumnFormula>VLOOKUP(Table6139149151[[#This Row],[מוצר]],מוצרים!A:B,2,0)*Table6139149151[[#This Row],[כמות במארז]]</calculatedColumnFormula>
    </tableColumn>
  </tableColumns>
  <tableStyleInfo name="TableStyleMedium13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78DB3AE2-5D4F-4366-86CE-FCA6AF160C70}" name="Table6139149" displayName="Table6139149" ref="A2:D8" totalsRowShown="0" headerRowDxfId="748" dataDxfId="747">
  <autoFilter ref="A2:D8" xr:uid="{16B2DD4B-1009-4CDE-97AD-8B781131C4C7}"/>
  <tableColumns count="4">
    <tableColumn id="1" xr3:uid="{D45559EF-2968-4884-B802-428C3583BF16}" name="מוצר" dataDxfId="746"/>
    <tableColumn id="2" xr3:uid="{910E4904-193C-4244-8962-8A1CA028DA78}" name="כמות במארז" dataDxfId="745"/>
    <tableColumn id="3" xr3:uid="{5B1C1FD1-A88F-437E-B56C-C0679D3BAF4D}" name="עלות" dataDxfId="744">
      <calculatedColumnFormula>VLOOKUP(Table6139149[[#This Row],[מוצר]],מוצרים!A:B,2,0)*Table6139149[[#This Row],[כמות במארז]]</calculatedColumnFormula>
    </tableColumn>
    <tableColumn id="4" xr3:uid="{B0ACBA85-0327-4E93-BB47-5A6F0034F6D5}" name="Column1" dataDxfId="743"/>
  </tableColumns>
  <tableStyleInfo name="TableStyleMedium13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07B501E2-F915-4445-9A02-D27A5311D3B1}" name="Table7140150" displayName="Table7140150" ref="F2:H4" totalsRowShown="0" headerRowDxfId="742" dataDxfId="741">
  <autoFilter ref="F2:H4" xr:uid="{60961F29-705D-40BF-9845-578578FF7E0B}"/>
  <tableColumns count="3">
    <tableColumn id="1" xr3:uid="{6FADB24E-C57F-44F0-8E6D-12ADC2EF4876}" name="מוצר" dataDxfId="740"/>
    <tableColumn id="2" xr3:uid="{09B0ECDC-158C-41DA-B8B5-F1D8FA3B5FAC}" name="כמות" dataDxfId="739"/>
    <tableColumn id="3" xr3:uid="{3603693B-A4FD-43D0-B549-9CAAC2112456}" name="עלות" dataDxfId="738">
      <calculatedColumnFormula>ROUNDUP(VLOOKUP(Table7140150[[#This Row],[מוצר]],אריזות!A:C,2,0)/VLOOKUP(Table7140150[[#This Row],[מוצר]],אריזות!A:C,3,0)*Table7140150[[#This Row],[כמות]],2)</calculatedColumnFormula>
    </tableColumn>
  </tableColumns>
  <tableStyleInfo name="TableStyleMedium13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FB27BEC2-4C3F-4C72-88F9-8BC43B385813}" name="Table6139" displayName="Table6139" ref="A2:C10" totalsRowShown="0" headerRowDxfId="737" dataDxfId="736">
  <autoFilter ref="A2:C10" xr:uid="{16B2DD4B-1009-4CDE-97AD-8B781131C4C7}"/>
  <tableColumns count="3">
    <tableColumn id="1" xr3:uid="{26DD127E-C2A6-44B5-816E-D46238631204}" name="מוצר" dataDxfId="735"/>
    <tableColumn id="2" xr3:uid="{42770B17-34AB-4BB8-99BD-FF8CCC1DFCE0}" name="כמות במארז" dataDxfId="734"/>
    <tableColumn id="3" xr3:uid="{CC812AD8-5FFC-4E01-9461-EF5C9C308AA9}" name="עלות" dataDxfId="733">
      <calculatedColumnFormula>VLOOKUP(Table6139[[#This Row],[מוצר]],מוצרים!A:B,2,0)*Table6139[[#This Row],[כמות במארז]]</calculatedColumnFormula>
    </tableColumn>
  </tableColumns>
  <tableStyleInfo name="TableStyleMedium13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33500199-396F-46C4-BD49-E196BB392BD6}" name="Table7140" displayName="Table7140" ref="F2:H4" totalsRowShown="0" headerRowDxfId="732" dataDxfId="731">
  <autoFilter ref="F2:H4" xr:uid="{60961F29-705D-40BF-9845-578578FF7E0B}"/>
  <tableColumns count="3">
    <tableColumn id="1" xr3:uid="{7191DB4E-0656-447A-A1D9-F7D7707F144F}" name="מוצר" dataDxfId="730"/>
    <tableColumn id="2" xr3:uid="{87FB1EF0-6D87-493D-A357-D50468CCCD50}" name="כמות" dataDxfId="729"/>
    <tableColumn id="3" xr3:uid="{EB841ED2-FC50-49F9-AD93-77D58958ED1D}" name="עלות" dataDxfId="728">
      <calculatedColumnFormula>ROUNDUP(VLOOKUP(Table7140[[#This Row],[מוצר]],אריזות!A:C,2,0)/VLOOKUP(Table7140[[#This Row],[מוצר]],אריזות!A:C,3,0)*Table7140[[#This Row],[כמות]],2)</calculatedColumnFormula>
    </tableColumn>
  </tableColumns>
  <tableStyleInfo name="TableStyleMedium13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2EC47296-8E94-42A0-9D1C-C2BB44305532}" name="Table6139141143145147" displayName="Table6139141143145147" ref="A2:C8" totalsRowShown="0" headerRowDxfId="727" dataDxfId="726">
  <autoFilter ref="A2:C8" xr:uid="{16B2DD4B-1009-4CDE-97AD-8B781131C4C7}"/>
  <tableColumns count="3">
    <tableColumn id="1" xr3:uid="{3234A95B-D41E-4890-9328-78A8769A4DA9}" name="מוצר" dataDxfId="725"/>
    <tableColumn id="2" xr3:uid="{3CE13705-254E-4E8B-947B-06C8482BC117}" name="כמות במארז" dataDxfId="724"/>
    <tableColumn id="3" xr3:uid="{4841FB82-E677-4F2E-A7AE-604F214ECC40}" name="עלות" dataDxfId="723">
      <calculatedColumnFormula>VLOOKUP(Table6139141143145147[[#This Row],[מוצר]],מוצרים!A:B,2,0)*Table6139141143145147[[#This Row],[כמות במארז]]</calculatedColumnFormula>
    </tableColumn>
  </tableColumns>
  <tableStyleInfo name="TableStyleMedium13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4417B9DA-5BAE-4567-8F94-2721BABCBA10}" name="Table7140142144146148" displayName="Table7140142144146148" ref="F2:H5" totalsRowShown="0" headerRowDxfId="722" dataDxfId="721">
  <autoFilter ref="F2:H5" xr:uid="{60961F29-705D-40BF-9845-578578FF7E0B}"/>
  <tableColumns count="3">
    <tableColumn id="1" xr3:uid="{8001D9CC-E8D6-4BE5-BA09-8C7CC73157D2}" name="מוצר" dataDxfId="720"/>
    <tableColumn id="2" xr3:uid="{2AC1B656-37B0-41C2-97CC-64C9A58495DD}" name="כמות" dataDxfId="719"/>
    <tableColumn id="3" xr3:uid="{F6643D52-20F0-4DFF-AA80-6247D1F09B8F}" name="עלות" dataDxfId="718">
      <calculatedColumnFormula>ROUNDUP(VLOOKUP(Table7140142144146148[[#This Row],[מוצר]],אריזות!A:C,2,0)/VLOOKUP(Table7140142144146148[[#This Row],[מוצר]],אריזות!A:C,3,0)*Table7140142144146148[[#This Row],[כמות]],2)</calculatedColumnFormula>
    </tableColumn>
  </tableColumns>
  <tableStyleInfo name="TableStyleMedium13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F28849D3-7066-42FE-BD92-FF48E75D8343}" name="Table6139141143145" displayName="Table6139141143145" ref="A2:C9" totalsRowShown="0" headerRowDxfId="717" dataDxfId="716">
  <autoFilter ref="A2:C9" xr:uid="{16B2DD4B-1009-4CDE-97AD-8B781131C4C7}"/>
  <tableColumns count="3">
    <tableColumn id="1" xr3:uid="{323B01E7-466E-4E7D-9DEF-32BAF801DEB5}" name="מוצר" dataDxfId="715"/>
    <tableColumn id="2" xr3:uid="{489B2EB0-04D1-403E-A933-0FBD2ADD24B1}" name="כמות במארז" dataDxfId="714"/>
    <tableColumn id="3" xr3:uid="{0479A731-D6BE-4C0A-AA9C-957587D97F4A}" name="עלות" dataDxfId="713">
      <calculatedColumnFormula>VLOOKUP(Table6139141143145[[#This Row],[מוצר]],מוצרים!A:B,2,0)*Table6139141143145[[#This Row],[כמות במארז]]</calculatedColumnFormula>
    </tableColumn>
  </tableColumns>
  <tableStyleInfo name="TableStyleMedium13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DEBC68A1-9C87-485C-9CEF-125763482D84}" name="Table7140142144146" displayName="Table7140142144146" ref="F2:H4" totalsRowShown="0" headerRowDxfId="712" dataDxfId="711">
  <autoFilter ref="F2:H4" xr:uid="{60961F29-705D-40BF-9845-578578FF7E0B}"/>
  <tableColumns count="3">
    <tableColumn id="1" xr3:uid="{E3397419-C1FB-4C72-A8B1-182D53001753}" name="מוצר" dataDxfId="710"/>
    <tableColumn id="2" xr3:uid="{9B72ADD7-4262-48CE-9A59-BD5D8FE00C4D}" name="כמות" dataDxfId="709"/>
    <tableColumn id="3" xr3:uid="{159B045D-7933-4783-8505-8136FB614F48}" name="עלות" dataDxfId="708">
      <calculatedColumnFormula>ROUNDUP(VLOOKUP(Table7140142144146[[#This Row],[מוצר]],אריזות!A:C,2,0)/VLOOKUP(Table7140142144146[[#This Row],[מוצר]],אריזות!A:C,3,0)*Table7140142144146[[#This Row],[כמות]],2)</calculatedColumnFormula>
    </tableColumn>
  </tableColumns>
  <tableStyleInfo name="TableStyleMedium13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9263412D-F9C2-4930-A4A6-B48DA23860A8}" name="Table6139141143" displayName="Table6139141143" ref="A2:C9" totalsRowShown="0" headerRowDxfId="707" dataDxfId="706">
  <autoFilter ref="A2:C9" xr:uid="{16B2DD4B-1009-4CDE-97AD-8B781131C4C7}"/>
  <tableColumns count="3">
    <tableColumn id="1" xr3:uid="{DD9112F7-3135-4C23-B8B8-42292E1B9B84}" name="מוצר" dataDxfId="705"/>
    <tableColumn id="2" xr3:uid="{B6AB706E-0560-4DDC-A0A7-47E50B6D2F0B}" name="כמות במארז" dataDxfId="704"/>
    <tableColumn id="3" xr3:uid="{80DD5618-24D3-4E84-B986-ABCE25B90CE6}" name="עלות" dataDxfId="703">
      <calculatedColumnFormula>VLOOKUP(Table6139141143[[#This Row],[מוצר]],מוצרים!A:B,2,0)*Table6139141143[[#This Row],[כמות במארז]]</calculatedColumnFormula>
    </tableColumn>
  </tableColumns>
  <tableStyleInfo name="TableStyleMedium13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61109508-59A2-40DE-A970-08B540AA5D6C}" name="Table7140142144" displayName="Table7140142144" ref="F2:H4" totalsRowShown="0" headerRowDxfId="702" dataDxfId="701">
  <autoFilter ref="F2:H4" xr:uid="{60961F29-705D-40BF-9845-578578FF7E0B}"/>
  <tableColumns count="3">
    <tableColumn id="1" xr3:uid="{28FECE27-2248-4FA7-85A3-31BF99341391}" name="מוצר" dataDxfId="700"/>
    <tableColumn id="2" xr3:uid="{5FE95690-145F-4B48-A76D-7504D9E00308}" name="כמות" dataDxfId="699"/>
    <tableColumn id="3" xr3:uid="{9304060B-E111-4596-B2BC-0D578807B274}" name="עלות" dataDxfId="698">
      <calculatedColumnFormula>ROUNDUP(VLOOKUP(Table7140142144[[#This Row],[מוצר]],אריזות!A:C,2,0)/VLOOKUP(Table7140142144[[#This Row],[מוצר]],אריזות!A:C,3,0)*Table7140142144[[#This Row],[כמות]],2)</calculatedColumnFormula>
    </tableColumn>
  </tableColumns>
  <tableStyleInfo name="TableStyleMedium13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87F8BBA2-5BBA-420A-A8A6-6B13E72C2566}" name="Table6139141" displayName="Table6139141" ref="A2:C8" totalsRowShown="0" headerRowDxfId="697" dataDxfId="696">
  <autoFilter ref="A2:C8" xr:uid="{16B2DD4B-1009-4CDE-97AD-8B781131C4C7}"/>
  <tableColumns count="3">
    <tableColumn id="1" xr3:uid="{8C72D5E6-1B35-4BC3-859E-3E17D4A23E5F}" name="מוצר" dataDxfId="695"/>
    <tableColumn id="2" xr3:uid="{282FAC88-5CCE-44B7-8AF6-C39D9D46F39D}" name="כמות במארז" dataDxfId="694"/>
    <tableColumn id="3" xr3:uid="{03A275D6-6E55-4CF4-BCAF-6563BC69641A}" name="עלות" dataDxfId="693">
      <calculatedColumnFormula>VLOOKUP(Table6139141[[#This Row],[מוצר]],מוצרים!A:B,2,0)*Table6139141[[#This Row],[כמות במארז]]</calculatedColumnFormula>
    </tableColumn>
  </tableColumns>
  <tableStyleInfo name="TableStyleMedium13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2B3C20F7-BB95-433C-AC63-8E7FFBD0A081}" name="Table7140142" displayName="Table7140142" ref="F2:H4" totalsRowShown="0" headerRowDxfId="692" dataDxfId="691">
  <autoFilter ref="F2:H4" xr:uid="{60961F29-705D-40BF-9845-578578FF7E0B}"/>
  <tableColumns count="3">
    <tableColumn id="1" xr3:uid="{E1BAB0F9-CDE0-4F0C-A175-7930BAA2B75C}" name="מוצר" dataDxfId="690"/>
    <tableColumn id="2" xr3:uid="{64A680E2-5BEB-4820-9BA7-1737D1DFBB17}" name="כמות" dataDxfId="689"/>
    <tableColumn id="3" xr3:uid="{B51BEDE0-C486-4464-ABD1-0CAB0BC3DE70}" name="עלות" dataDxfId="688">
      <calculatedColumnFormula>ROUNDUP(VLOOKUP(Table7140142[[#This Row],[מוצר]],אריזות!A:C,2,0)/VLOOKUP(Table7140142[[#This Row],[מוצר]],אריזות!A:C,3,0)*Table7140142[[#This Row],[כמות]],2)</calculatedColumnFormula>
    </tableColumn>
  </tableColumns>
  <tableStyleInfo name="TableStyleMedium13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2C80622-DEBF-41F9-8ABA-3C07B1741818}" name="Work11172023505356110112115118121124127136" displayName="Work11172023505356110112115118121124127136" ref="F2:H3" totalsRowShown="0" headerRowDxfId="687" dataDxfId="686">
  <autoFilter ref="F2:H3" xr:uid="{D8C41056-C926-43F5-B200-BF554B577C99}"/>
  <tableColumns count="3">
    <tableColumn id="1" xr3:uid="{C94C3079-83B2-40B1-BF80-390E0B1CFFE6}" name="שעות עבודה" dataDxfId="685"/>
    <tableColumn id="2" xr3:uid="{54B0AE6A-3589-4F5E-AF82-E5FD49BBCA53}" name="עלות לשעת עבודה" dataDxfId="684"/>
    <tableColumn id="3" xr3:uid="{DC4984B2-1181-4C90-AAEB-61F6E077F0AF}" name="עלות עבודה" dataDxfId="683">
      <calculatedColumnFormula>Work11172023505356110112115118121124127136[[#This Row],[עלות לשעת עבודה]]*Work11172023505356110112115118121124127136[[#This Row],[שעות עבודה]]</calculatedColumnFormula>
    </tableColumn>
  </tableColumns>
  <tableStyleInfo name="TableStyleMedium14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04DFD65E-3942-4F21-AE92-4E3A7707ED94}" name="SinglePack12182124515457111113116119122125128137" displayName="SinglePack12182124515457111113116119122125128137" ref="O2:Q3" totalsRowShown="0" headerRowDxfId="682" dataDxfId="681">
  <autoFilter ref="O2:Q3" xr:uid="{3D8D31A1-E39A-4205-8A52-296A8CA9E240}"/>
  <tableColumns count="3">
    <tableColumn id="1" xr3:uid="{7D323C19-DECE-4B3D-860E-0D100B4A9A4B}" name="מוצר" dataDxfId="680"/>
    <tableColumn id="2" xr3:uid="{14CD41C6-96F7-46D1-B3A4-C9CFABB098F8}" name="כמות" dataDxfId="679"/>
    <tableColumn id="3" xr3:uid="{E7387034-D3A8-442D-9465-881FDFC2E7D3}" name="עלות" dataDxfId="678">
      <calculatedColumnFormula>ROUNDUP(VLOOKUP(SinglePack12182124515457111113116119122125128137[[#This Row],[מוצר]],אריזות!A:C,2,0)/VLOOKUP(SinglePack12182124515457111113116119122125128137[[#This Row],[מוצר]],אריזות!A:C,3,0)*SinglePack12182124515457111113116119122125128137[[#This Row],[כמות]],2)</calculatedColumnFormula>
    </tableColumn>
  </tableColumns>
  <tableStyleInfo name="TableStyleMedium13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45B7351E-6095-45C6-8427-F5E17558CD27}" name="Recipe10161922495255109114117120123126129138" displayName="Recipe10161922495255109114117120123126129138" ref="A2:D9" totalsRowShown="0" headerRowDxfId="677" dataDxfId="676">
  <autoFilter ref="A2:D9" xr:uid="{CB6E45FA-E11E-4A9C-88C7-88A6D81BC9D2}"/>
  <tableColumns count="4">
    <tableColumn id="1" xr3:uid="{37B9D82E-6940-4D48-BC30-678D10081540}" name="חומר גלם" dataDxfId="675"/>
    <tableColumn id="2" xr3:uid="{DBB262F9-A7AA-42C4-B488-384BD9CC3230}" name="כמות במתכון" dataDxfId="674"/>
    <tableColumn id="3" xr3:uid="{9790897E-D973-4A94-AF62-CD0DCBEF93BF}" name="יחידת מידה" dataDxfId="673">
      <calculatedColumnFormula>VLOOKUP(Recipe10161922495255109114117120123126129138[[#This Row],[חומר גלם]],'חומרי גלם'!A:D,4,0)</calculatedColumnFormula>
    </tableColumn>
    <tableColumn id="4" xr3:uid="{9BE8963B-E016-437B-A9DD-498BFA9B44E5}" name="עלות למתכון" dataDxfId="672">
      <calculatedColumnFormula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9C374A5B-1607-4922-A4FA-DF0BDF6F542E}" name="Work11172023505356110112115118121124127130133" displayName="Work11172023505356110112115118121124127130133" ref="F2:H3" totalsRowShown="0" headerRowDxfId="671" dataDxfId="670">
  <autoFilter ref="F2:H3" xr:uid="{D8C41056-C926-43F5-B200-BF554B577C99}"/>
  <tableColumns count="3">
    <tableColumn id="1" xr3:uid="{F1B25E7E-5A80-4D79-8FC2-E78B0291E6B0}" name="שעות עבודה" dataDxfId="669"/>
    <tableColumn id="2" xr3:uid="{E69EC703-5173-4547-854B-F0E4800AF539}" name="עלות לשעת עבודה" dataDxfId="668"/>
    <tableColumn id="3" xr3:uid="{349AF9C9-C3CB-4E07-8CBD-D6AC8D29387A}" name="עלות עבודה" dataDxfId="667">
      <calculatedColumnFormula>Work11172023505356110112115118121124127130133[[#This Row],[עלות לשעת עבודה]]*Work11172023505356110112115118121124127130133[[#This Row],[שעות עבודה]]</calculatedColumnFormula>
    </tableColumn>
  </tableColumns>
  <tableStyleInfo name="TableStyleMedium14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25A2AD25-ABE2-49F3-81EC-22AB9A687F31}" name="SinglePack12182124515457111113116119122125128131134" displayName="SinglePack12182124515457111113116119122125128131134" ref="O2:Q3" totalsRowShown="0" headerRowDxfId="666" dataDxfId="665">
  <autoFilter ref="O2:Q3" xr:uid="{3D8D31A1-E39A-4205-8A52-296A8CA9E240}"/>
  <tableColumns count="3">
    <tableColumn id="1" xr3:uid="{2FD35280-4021-478F-A9D3-F2D0168A5FD3}" name="מוצר" dataDxfId="664"/>
    <tableColumn id="2" xr3:uid="{D22DCA2A-6BE2-4D3D-933E-6E3703941809}" name="כמות" dataDxfId="663"/>
    <tableColumn id="3" xr3:uid="{CF3D2003-CAC6-4EBE-9CFA-E0D73DABEEDE}" name="עלות" dataDxfId="662">
      <calculatedColumnFormula>ROUNDUP(VLOOKUP(SinglePack12182124515457111113116119122125128131134[[#This Row],[מוצר]],אריזות!A:C,2,0)/VLOOKUP(SinglePack12182124515457111113116119122125128131134[[#This Row],[מוצר]],אריזות!A:C,3,0)*SinglePack12182124515457111113116119122125128131134[[#This Row],[כמות]],2)</calculatedColumnFormula>
    </tableColumn>
  </tableColumns>
  <tableStyleInfo name="TableStyleMedium13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CAD9F141-8F4B-42DD-8576-42CA54919A62}" name="Recipe10161922495255109114117120123126129132135" displayName="Recipe10161922495255109114117120123126129132135" ref="A2:D6" totalsRowShown="0" headerRowDxfId="661" dataDxfId="660">
  <autoFilter ref="A2:D6" xr:uid="{CB6E45FA-E11E-4A9C-88C7-88A6D81BC9D2}"/>
  <tableColumns count="4">
    <tableColumn id="1" xr3:uid="{7254BFB4-E247-4398-8BB3-5029D34E04FE}" name="חומר גלם" dataDxfId="659"/>
    <tableColumn id="2" xr3:uid="{E97DFD0D-AE87-4E59-9972-20D7E8A7ED24}" name="כמות במתכון" dataDxfId="658"/>
    <tableColumn id="3" xr3:uid="{3429C682-7886-4E43-ABBD-9581512317E5}" name="יחידת מידה" dataDxfId="657">
      <calculatedColumnFormula>VLOOKUP(Recipe10161922495255109114117120123126129132135[[#This Row],[חומר גלם]],'חומרי גלם'!A:D,4,0)</calculatedColumnFormula>
    </tableColumn>
    <tableColumn id="4" xr3:uid="{394576A9-6E92-4BFD-BF78-762E0508FF69}" name="עלות למתכון" dataDxfId="656">
      <calculatedColumnFormula>ROUNDUP(Recipe10161922495255109114117120123126129132135[[#This Row],[כמות במתכון]]*VLOOKUP(Recipe10161922495255109114117120123126129132135[[#This Row],[חומר גלם]],'חומרי גלם'!A:D,2,0)/VLOOKUP(Recipe10161922495255109114117120123126129132135[[#This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873B9C08-4465-4E87-9080-19084CA0F83F}" name="Work11172023505356110112115118121124127" displayName="Work11172023505356110112115118121124127" ref="F2:H3" totalsRowShown="0" headerRowDxfId="655" dataDxfId="654">
  <autoFilter ref="F2:H3" xr:uid="{D8C41056-C926-43F5-B200-BF554B577C99}"/>
  <tableColumns count="3">
    <tableColumn id="1" xr3:uid="{B9C78EA5-E680-4031-A25B-4CD17BA7B0E4}" name="שעות עבודה" dataDxfId="653"/>
    <tableColumn id="2" xr3:uid="{C94C5AB7-7ABD-41A3-856B-F154376D2DAC}" name="עלות לשעת עבודה" dataDxfId="652"/>
    <tableColumn id="3" xr3:uid="{C0CE718F-8BF7-4BC8-84A5-A05B542BB0BE}" name="עלות עבודה" dataDxfId="651">
      <calculatedColumnFormula>Work11172023505356110112115118121124127[[#This Row],[עלות לשעת עבודה]]*Work11172023505356110112115118121124127[[#This Row],[שעות עבודה]]</calculatedColumnFormula>
    </tableColumn>
  </tableColumns>
  <tableStyleInfo name="TableStyleMedium14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F997B27C-F849-4B16-ADDF-B64C2EE039C3}" name="SinglePack12182124515457111113116119122125128" displayName="SinglePack12182124515457111113116119122125128" ref="O2:Q3" totalsRowShown="0" headerRowDxfId="650" dataDxfId="649">
  <autoFilter ref="O2:Q3" xr:uid="{3D8D31A1-E39A-4205-8A52-296A8CA9E240}"/>
  <tableColumns count="3">
    <tableColumn id="1" xr3:uid="{E1D19848-5C57-4843-9BD0-A3B6110DF18A}" name="מוצר" dataDxfId="648"/>
    <tableColumn id="2" xr3:uid="{30E24D67-A309-4F36-8420-8DFBC393656A}" name="כמות" dataDxfId="647"/>
    <tableColumn id="3" xr3:uid="{38AC6208-292D-46DC-9E7F-0558A2D3AC4F}" name="עלות" dataDxfId="646">
      <calculatedColumnFormula>ROUNDUP(VLOOKUP(SinglePack12182124515457111113116119122125128[[#This Row],[מוצר]],אריזות!A:C,2,0)/VLOOKUP(SinglePack12182124515457111113116119122125128[[#This Row],[מוצר]],אריזות!A:C,3,0)*SinglePack12182124515457111113116119122125128[[#This Row],[כמות]],2)</calculatedColumnFormula>
    </tableColumn>
  </tableColumns>
  <tableStyleInfo name="TableStyleMedium13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3D67E770-C911-4BA5-AB70-A40E8EBD6A09}" name="Recipe10161922495255109114117120123126129" displayName="Recipe10161922495255109114117120123126129" ref="A2:D12" totalsRowShown="0" headerRowDxfId="645" dataDxfId="644">
  <autoFilter ref="A2:D12" xr:uid="{CB6E45FA-E11E-4A9C-88C7-88A6D81BC9D2}"/>
  <tableColumns count="4">
    <tableColumn id="1" xr3:uid="{21BFE6B7-C03B-49B4-A316-F79C36FBB908}" name="חומר גלם" dataDxfId="643"/>
    <tableColumn id="2" xr3:uid="{A8A40E4A-0E56-4E09-B30F-21BD0DB5854D}" name="כמות במתכון" dataDxfId="642"/>
    <tableColumn id="3" xr3:uid="{5ED76AD4-37EC-481E-BC24-A23AA5EEB93A}" name="יחידת מידה" dataDxfId="641">
      <calculatedColumnFormula>VLOOKUP(Recipe10161922495255109114117120123126129[[#This Row],[חומר גלם]],'חומרי גלם'!A:D,4,0)</calculatedColumnFormula>
    </tableColumn>
    <tableColumn id="4" xr3:uid="{BDA37045-D726-4E7A-B9B5-1FA91F6BC11A}" name="עלות למתכון" dataDxfId="640">
      <calculatedColumnFormula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ADA10A07-FA2C-4909-BE37-2A9B8313C89C}" name="Work11172023505356110112115118121124127130" displayName="Work11172023505356110112115118121124127130" ref="F2:H3" totalsRowShown="0" headerRowDxfId="639" dataDxfId="638">
  <autoFilter ref="F2:H3" xr:uid="{D8C41056-C926-43F5-B200-BF554B577C99}"/>
  <tableColumns count="3">
    <tableColumn id="1" xr3:uid="{782FF89D-CC41-4FB9-B676-0291C1E9A324}" name="שעות עבודה" dataDxfId="637"/>
    <tableColumn id="2" xr3:uid="{188C543F-F38C-4135-BC7F-5CEB623E8740}" name="עלות לשעת עבודה" dataDxfId="636"/>
    <tableColumn id="3" xr3:uid="{C754CF05-C7F2-4198-9E7C-5B44B20332AF}" name="עלות עבודה" dataDxfId="635">
      <calculatedColumnFormula>Work11172023505356110112115118121124127130[[#This Row],[עלות לשעת עבודה]]*Work11172023505356110112115118121124127130[[#This Row],[שעות עבודה]]</calculatedColumnFormula>
    </tableColumn>
  </tableColumns>
  <tableStyleInfo name="TableStyleMedium14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6697FC6D-49F1-4962-AC1F-475F5786D7D9}" name="SinglePack12182124515457111113116119122125128131" displayName="SinglePack12182124515457111113116119122125128131" ref="O2:Q3" totalsRowShown="0" headerRowDxfId="634" dataDxfId="633">
  <autoFilter ref="O2:Q3" xr:uid="{3D8D31A1-E39A-4205-8A52-296A8CA9E240}"/>
  <tableColumns count="3">
    <tableColumn id="1" xr3:uid="{AF3A113D-A1C2-4208-856D-1F260EBEF5FA}" name="מוצר" dataDxfId="632"/>
    <tableColumn id="2" xr3:uid="{401862AA-3804-4F42-8BC0-F33CCDD09D22}" name="כמות" dataDxfId="631"/>
    <tableColumn id="3" xr3:uid="{D0C2DE27-A066-43C4-9C91-EAAB07B9EDCA}" name="עלות" dataDxfId="630">
      <calculatedColumnFormula>ROUNDUP(VLOOKUP(SinglePack12182124515457111113116119122125128131[[#This Row],[מוצר]],אריזות!A:C,2,0)/VLOOKUP(SinglePack12182124515457111113116119122125128131[[#This Row],[מוצר]],אריזות!A:C,3,0)*SinglePack12182124515457111113116119122125128131[[#This Row],[כמות]],2)</calculatedColumnFormula>
    </tableColumn>
  </tableColumns>
  <tableStyleInfo name="TableStyleMedium13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FD965A4F-6BE2-489E-8926-2878504358B5}" name="Recipe10161922495255109114117120123126129132" displayName="Recipe10161922495255109114117120123126129132" ref="A2:D7" totalsRowShown="0" headerRowDxfId="629" dataDxfId="628">
  <autoFilter ref="A2:D7" xr:uid="{CB6E45FA-E11E-4A9C-88C7-88A6D81BC9D2}"/>
  <tableColumns count="4">
    <tableColumn id="1" xr3:uid="{AE91EC89-B566-4DC6-9218-721F8C5FC1C8}" name="חומר גלם" dataDxfId="627"/>
    <tableColumn id="2" xr3:uid="{488E43FA-F9F8-4EF2-9A8E-AD2F070EBA83}" name="כמות במתכון" dataDxfId="626"/>
    <tableColumn id="3" xr3:uid="{9DCB5A60-FEF4-408E-A9C4-36DC699B7EC1}" name="יחידת מידה" dataDxfId="625">
      <calculatedColumnFormula>VLOOKUP(Recipe10161922495255109114117120123126129132[[#This Row],[חומר גלם]],'חומרי גלם'!A:D,4,0)</calculatedColumnFormula>
    </tableColumn>
    <tableColumn id="4" xr3:uid="{0301C08C-7B08-4400-A6A4-BB83E8678B34}" name="עלות למתכון" dataDxfId="624">
      <calculatedColumnFormula>ROUNDUP(Recipe10161922495255109114117120123126129132[[#This Row],[כמות במתכון]]*VLOOKUP(Recipe10161922495255109114117120123126129132[[#This Row],[חומר גלם]],'חומרי גלם'!A:D,2,0)/VLOOKUP(Recipe10161922495255109114117120123126129132[[#This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FD94C375-D3E7-4612-B23E-3F058586857E}" name="Work11172023505356110112115118121124" displayName="Work11172023505356110112115118121124" ref="F2:H3" totalsRowShown="0" headerRowDxfId="623" dataDxfId="622">
  <autoFilter ref="F2:H3" xr:uid="{D8C41056-C926-43F5-B200-BF554B577C99}"/>
  <tableColumns count="3">
    <tableColumn id="1" xr3:uid="{530A48D7-BFF3-411E-93E9-3936E94F4618}" name="שעות עבודה" dataDxfId="621"/>
    <tableColumn id="2" xr3:uid="{D8BCC5EB-48B4-4853-A6AF-214B2F34E66E}" name="עלות לשעת עבודה" dataDxfId="620"/>
    <tableColumn id="3" xr3:uid="{035F5615-FB4F-4577-851C-439A5023EE3F}" name="עלות עבודה" dataDxfId="619">
      <calculatedColumnFormula>Work11172023505356110112115118121124[[#This Row],[עלות לשעת עבודה]]*Work11172023505356110112115118121124[[#This Row],[שעות עבודה]]</calculatedColumnFormula>
    </tableColumn>
  </tableColumns>
  <tableStyleInfo name="TableStyleMedium14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B8A73A62-ED9D-4FAA-B660-E5AC9B449DFB}" name="SinglePack12182124515457111113116119122125" displayName="SinglePack12182124515457111113116119122125" ref="O2:Q3" totalsRowShown="0" headerRowDxfId="618" dataDxfId="617">
  <autoFilter ref="O2:Q3" xr:uid="{3D8D31A1-E39A-4205-8A52-296A8CA9E240}"/>
  <tableColumns count="3">
    <tableColumn id="1" xr3:uid="{4EC82DEE-93C0-4EB0-B12E-824276E50842}" name="מוצר" dataDxfId="616"/>
    <tableColumn id="2" xr3:uid="{0A9EBEEA-5EB9-43A6-BA41-44F438462F15}" name="כמות" dataDxfId="615"/>
    <tableColumn id="3" xr3:uid="{9E824DEE-5F7C-440E-B7F1-D94C6DD3985E}" name="עלות" dataDxfId="614">
      <calculatedColumnFormula>ROUNDUP(VLOOKUP(SinglePack12182124515457111113116119122125[[#This Row],[מוצר]],אריזות!A:C,2,0)/VLOOKUP(SinglePack12182124515457111113116119122125[[#This Row],[מוצר]],אריזות!A:C,3,0)*SinglePack12182124515457111113116119122125[[#This Row],[כמות]],2)</calculatedColumnFormula>
    </tableColumn>
  </tableColumns>
  <tableStyleInfo name="TableStyleMedium13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60F7609A-5835-4BE6-A054-12ADB722512A}" name="Recipe10161922495255109114117120123126" displayName="Recipe10161922495255109114117120123126" ref="A2:D11" totalsRowShown="0" headerRowDxfId="613" dataDxfId="612">
  <autoFilter ref="A2:D11" xr:uid="{CB6E45FA-E11E-4A9C-88C7-88A6D81BC9D2}"/>
  <tableColumns count="4">
    <tableColumn id="1" xr3:uid="{C4CC753B-AF61-4FA5-9028-F4C1B0A45E69}" name="חומר גלם" dataDxfId="611"/>
    <tableColumn id="2" xr3:uid="{BC2B765E-D24C-4752-A322-C052E2FBF560}" name="כמות במתכון" dataDxfId="610"/>
    <tableColumn id="3" xr3:uid="{DA0D2BF8-F51C-4794-BCE0-4B738EDAF6C5}" name="יחידת מידה" dataDxfId="609">
      <calculatedColumnFormula>VLOOKUP(Recipe10161922495255109114117120123126[[#This Row],[חומר גלם]],'חומרי גלם'!A:D,4,0)</calculatedColumnFormula>
    </tableColumn>
    <tableColumn id="4" xr3:uid="{BFE4A9B3-C481-469D-9AFB-2999BF246006}" name="עלות למתכון" dataDxfId="608">
      <calculatedColumnFormula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12798EA6-21C8-4A35-B40D-039884C8B47B}" name="Work11172023505356110112115118121" displayName="Work11172023505356110112115118121" ref="F2:H3" totalsRowShown="0" headerRowDxfId="607" dataDxfId="606">
  <autoFilter ref="F2:H3" xr:uid="{D8C41056-C926-43F5-B200-BF554B577C99}"/>
  <tableColumns count="3">
    <tableColumn id="1" xr3:uid="{85C9D641-7321-42F1-9747-1CFC0FAE0710}" name="שעות עבודה" dataDxfId="605"/>
    <tableColumn id="2" xr3:uid="{E139194C-1447-4272-A5B7-7D0D4DB63C32}" name="עלות לשעת עבודה" dataDxfId="604"/>
    <tableColumn id="3" xr3:uid="{EE6CEDF4-A712-4DB5-B455-E915A245A9F4}" name="עלות עבודה" dataDxfId="603">
      <calculatedColumnFormula>Work11172023505356110112115118121[[#This Row],[עלות לשעת עבודה]]*Work11172023505356110112115118121[[#This Row],[שעות עבודה]]</calculatedColumnFormula>
    </tableColumn>
  </tableColumns>
  <tableStyleInfo name="TableStyleMedium14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65FE6B70-872E-421F-B1F7-2E336A500E47}" name="SinglePack12182124515457111113116119122" displayName="SinglePack12182124515457111113116119122" ref="O2:Q3" totalsRowShown="0" headerRowDxfId="602" dataDxfId="601">
  <autoFilter ref="O2:Q3" xr:uid="{3D8D31A1-E39A-4205-8A52-296A8CA9E240}"/>
  <tableColumns count="3">
    <tableColumn id="1" xr3:uid="{272ACFD8-46F4-4AD2-A8F8-EFA75A8D51BB}" name="מוצר" dataDxfId="600"/>
    <tableColumn id="2" xr3:uid="{7194F144-28E5-426D-B720-8504FF4FED32}" name="כמות" dataDxfId="599"/>
    <tableColumn id="3" xr3:uid="{364DB04B-D9F3-4EDD-A72C-1EE6AE1F3B5F}" name="עלות" dataDxfId="598">
      <calculatedColumnFormula>ROUNDUP(VLOOKUP(SinglePack12182124515457111113116119122[[#This Row],[מוצר]],אריזות!A:C,2,0)/VLOOKUP(SinglePack12182124515457111113116119122[[#This Row],[מוצר]],אריזות!A:C,3,0)*SinglePack12182124515457111113116119122[[#This Row],[כמות]],2)</calculatedColumnFormula>
    </tableColumn>
  </tableColumns>
  <tableStyleInfo name="TableStyleMedium13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BD835045-17D4-41A7-8B1E-98DC41A2B4F3}" name="Recipe10161922495255109114117120123" displayName="Recipe10161922495255109114117120123" ref="A2:D10" totalsRowShown="0" headerRowDxfId="597" dataDxfId="596">
  <autoFilter ref="A2:D10" xr:uid="{CB6E45FA-E11E-4A9C-88C7-88A6D81BC9D2}"/>
  <tableColumns count="4">
    <tableColumn id="1" xr3:uid="{633BEFF0-EC8F-4178-B88C-E6DB85545B9E}" name="חומר גלם" dataDxfId="595"/>
    <tableColumn id="2" xr3:uid="{F47A4AE6-D681-4D13-B85D-A7A82DADA69C}" name="כמות במתכון" dataDxfId="594"/>
    <tableColumn id="3" xr3:uid="{C0F12D3E-D1A5-4D84-B28D-248A900DDF49}" name="יחידת מידה" dataDxfId="593">
      <calculatedColumnFormula>VLOOKUP(Recipe10161922495255109114117120123[[#This Row],[חומר גלם]],'חומרי גלם'!A:D,4,0)</calculatedColumnFormula>
    </tableColumn>
    <tableColumn id="4" xr3:uid="{6AE4CE6C-D5D5-4A9D-A627-316405687ACC}" name="עלות למתכון" dataDxfId="592">
      <calculatedColumnFormula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94B196E5-5D15-4931-B646-BD7C4FC9CAE2}" name="Work11172023505356110112115118" displayName="Work11172023505356110112115118" ref="F2:H3" totalsRowShown="0" headerRowDxfId="591" dataDxfId="590">
  <autoFilter ref="F2:H3" xr:uid="{D8C41056-C926-43F5-B200-BF554B577C99}"/>
  <tableColumns count="3">
    <tableColumn id="1" xr3:uid="{AA32BFD4-5325-459A-8D46-23D7BF0F8CFB}" name="שעות עבודה" dataDxfId="589"/>
    <tableColumn id="2" xr3:uid="{349D8139-CA6D-4503-A466-824D422E093B}" name="עלות לשעת עבודה" dataDxfId="588"/>
    <tableColumn id="3" xr3:uid="{D7114108-0E56-4C06-A3A7-3926C67610C2}" name="עלות עבודה" dataDxfId="587">
      <calculatedColumnFormula>Work11172023505356110112115118[[#This Row],[עלות לשעת עבודה]]*Work11172023505356110112115118[[#This Row],[שעות עבודה]]</calculatedColumnFormula>
    </tableColumn>
  </tableColumns>
  <tableStyleInfo name="TableStyleMedium14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79E9234A-D589-47F2-B360-6DE670D85282}" name="SinglePack12182124515457111113116119" displayName="SinglePack12182124515457111113116119" ref="O2:Q3" totalsRowShown="0" headerRowDxfId="586" dataDxfId="585">
  <autoFilter ref="O2:Q3" xr:uid="{3D8D31A1-E39A-4205-8A52-296A8CA9E240}"/>
  <tableColumns count="3">
    <tableColumn id="1" xr3:uid="{62186AEF-F11B-4D54-BD39-CF887E3D7155}" name="מוצר" dataDxfId="584"/>
    <tableColumn id="2" xr3:uid="{94DE1053-A97A-4B44-AF06-73A36EEAA8E6}" name="כמות" dataDxfId="583"/>
    <tableColumn id="3" xr3:uid="{FB058E5A-19C0-43BA-BC1B-FD11A2E22AB2}" name="עלות" dataDxfId="582">
      <calculatedColumnFormula>ROUNDUP(VLOOKUP(SinglePack12182124515457111113116119[[#This Row],[מוצר]],אריזות!A:C,2,0)/VLOOKUP(SinglePack12182124515457111113116119[[#This Row],[מוצר]],אריזות!A:C,3,0)*SinglePack12182124515457111113116119[[#This Row],[כמות]],2)</calculatedColumnFormula>
    </tableColumn>
  </tableColumns>
  <tableStyleInfo name="TableStyleMedium13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485A7B6A-D72B-4D29-8948-356396B890C1}" name="Recipe10161922495255109114117120" displayName="Recipe10161922495255109114117120" ref="A2:D9" totalsRowShown="0" headerRowDxfId="581" dataDxfId="580">
  <autoFilter ref="A2:D9" xr:uid="{CB6E45FA-E11E-4A9C-88C7-88A6D81BC9D2}"/>
  <tableColumns count="4">
    <tableColumn id="1" xr3:uid="{E2DD2FCC-092F-4C40-A654-638A37AB1663}" name="חומר גלם" dataDxfId="579"/>
    <tableColumn id="2" xr3:uid="{098593E1-0D3D-47E8-AD65-EB6AB5DF510F}" name="כמות במתכון" dataDxfId="578"/>
    <tableColumn id="3" xr3:uid="{071F0A74-C4B9-4127-8C8C-929CA3199C03}" name="יחידת מידה" dataDxfId="577">
      <calculatedColumnFormula>VLOOKUP(Recipe10161922495255109114117120[[#This Row],[חומר גלם]],'חומרי גלם'!A:D,4,0)</calculatedColumnFormula>
    </tableColumn>
    <tableColumn id="4" xr3:uid="{2C17EA1B-B7AE-48B0-9E41-43F5E1853208}" name="עלות למתכון" dataDxfId="576">
      <calculatedColumnFormula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5F472BAA-B69D-4AB7-BEBD-E31F8020EC17}" name="Work11172023505356110112115" displayName="Work11172023505356110112115" ref="F2:H3" totalsRowShown="0" headerRowDxfId="575" dataDxfId="574">
  <autoFilter ref="F2:H3" xr:uid="{D8C41056-C926-43F5-B200-BF554B577C99}"/>
  <tableColumns count="3">
    <tableColumn id="1" xr3:uid="{1D2B4B73-C1C4-48EF-B669-976BB3AA83F4}" name="שעות עבודה" dataDxfId="573"/>
    <tableColumn id="2" xr3:uid="{A29F0037-240B-453E-9753-F7E8D4AD8E60}" name="עלות לשעת עבודה" dataDxfId="572"/>
    <tableColumn id="3" xr3:uid="{85AD4442-B69D-4739-B6FB-11CA2AF1F99C}" name="עלות עבודה" dataDxfId="571">
      <calculatedColumnFormula>Work11172023505356110112115[[#This Row],[עלות לשעת עבודה]]*Work11172023505356110112115[[#This Row],[שעות עבודה]]</calculatedColumnFormula>
    </tableColumn>
  </tableColumns>
  <tableStyleInfo name="TableStyleMedium14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443B28AA-A0D0-45F6-AED5-F59D32CF2722}" name="SinglePack12182124515457111113116" displayName="SinglePack12182124515457111113116" ref="O2:Q3" totalsRowShown="0" headerRowDxfId="570" dataDxfId="569">
  <autoFilter ref="O2:Q3" xr:uid="{3D8D31A1-E39A-4205-8A52-296A8CA9E240}"/>
  <tableColumns count="3">
    <tableColumn id="1" xr3:uid="{0D4B678D-9B2A-43E6-B44D-94A6777BD8D6}" name="מוצר" dataDxfId="568"/>
    <tableColumn id="2" xr3:uid="{22FCBE9E-7360-407B-BBF5-3BB224BB3E9A}" name="כמות" dataDxfId="567"/>
    <tableColumn id="3" xr3:uid="{61372081-2AA2-4045-B614-4D2C32706310}" name="עלות" dataDxfId="566">
      <calculatedColumnFormula>ROUNDUP(VLOOKUP(SinglePack12182124515457111113116[[#This Row],[מוצר]],אריזות!A:C,2,0)/VLOOKUP(SinglePack12182124515457111113116[[#This Row],[מוצר]],אריזות!A:C,3,0)*SinglePack12182124515457111113116[[#This Row],[כמות]],2)</calculatedColumnFormula>
    </tableColumn>
  </tableColumns>
  <tableStyleInfo name="TableStyleMedium13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B7D6798B-F63B-4E6E-9D77-DC4F2E9C4E47}" name="Recipe10161922495255109114117" displayName="Recipe10161922495255109114117" ref="A2:D10" totalsRowShown="0" headerRowDxfId="565" dataDxfId="564">
  <autoFilter ref="A2:D10" xr:uid="{CB6E45FA-E11E-4A9C-88C7-88A6D81BC9D2}"/>
  <tableColumns count="4">
    <tableColumn id="1" xr3:uid="{539785B6-C2B6-445D-80A2-51C9131C7261}" name="חומר גלם" dataDxfId="563"/>
    <tableColumn id="2" xr3:uid="{2AD4FC84-9A0A-43A0-9B5C-8BA748D50EFF}" name="כמות במתכון" dataDxfId="562"/>
    <tableColumn id="3" xr3:uid="{7A30CEF8-47A5-4081-9A97-0C2C84997AA4}" name="יחידת מידה" dataDxfId="561">
      <calculatedColumnFormula>VLOOKUP(Recipe10161922495255109114117[[#This Row],[חומר גלם]],'חומרי גלם'!A:D,4,0)</calculatedColumnFormula>
    </tableColumn>
    <tableColumn id="4" xr3:uid="{EDBB8637-EA3F-4DA2-BA87-92FB9483B052}" name="עלות למתכון" dataDxfId="560">
      <calculatedColumnFormula>ROUNDUP(Recipe10161922495255109114117[[#This Row],[כמות במתכון]]*VLOOKUP(Recipe10161922495255109114117[[#This Row],[חומר גלם]],'חומרי גלם'!A:D,2,0)/VLOOKUP(Recipe10161922495255109114117[[#This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1F3DECD1-7033-4D64-855F-71C47F5A3460}" name="Work11172023505356110112" displayName="Work11172023505356110112" ref="F2:H3" totalsRowShown="0" headerRowDxfId="559" dataDxfId="558">
  <autoFilter ref="F2:H3" xr:uid="{D8C41056-C926-43F5-B200-BF554B577C99}"/>
  <tableColumns count="3">
    <tableColumn id="1" xr3:uid="{AD69B654-AD5B-499D-A9D5-F4D090394CDC}" name="שעות עבודה" dataDxfId="557"/>
    <tableColumn id="2" xr3:uid="{5C5CC637-E609-44AB-A4D6-A1F02EC39E57}" name="עלות לשעת עבודה" dataDxfId="556"/>
    <tableColumn id="3" xr3:uid="{814FA18F-40C8-446E-B0C0-35BD03C19083}" name="עלות עבודה" dataDxfId="555">
      <calculatedColumnFormula>Work11172023505356110112[[#This Row],[עלות לשעת עבודה]]*Work11172023505356110112[[#This Row],[שעות עבודה]]</calculatedColumnFormula>
    </tableColumn>
  </tableColumns>
  <tableStyleInfo name="TableStyleMedium14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1A3694AA-227F-4ACE-9C11-0048C00B4AD1}" name="SinglePack12182124515457111113" displayName="SinglePack12182124515457111113" ref="O2:Q3" totalsRowShown="0" headerRowDxfId="554" dataDxfId="553">
  <autoFilter ref="O2:Q3" xr:uid="{3D8D31A1-E39A-4205-8A52-296A8CA9E240}"/>
  <tableColumns count="3">
    <tableColumn id="1" xr3:uid="{46F29FEC-126E-4AF9-90F9-553D9E5DF390}" name="מוצר" dataDxfId="552"/>
    <tableColumn id="2" xr3:uid="{96FE28A3-0291-446E-A4E7-90E617ED5F08}" name="כמות" dataDxfId="551"/>
    <tableColumn id="3" xr3:uid="{F5BC1745-2A90-4056-AF06-D2788D649A92}" name="עלות" dataDxfId="550">
      <calculatedColumnFormula>ROUNDUP(VLOOKUP(SinglePack12182124515457111113[[#This Row],[מוצר]],אריזות!A:C,2,0)/VLOOKUP(SinglePack12182124515457111113[[#This Row],[מוצר]],אריזות!A:C,3,0)*SinglePack12182124515457111113[[#This Row],[כמות]],2)</calculatedColumnFormula>
    </tableColumn>
  </tableColumns>
  <tableStyleInfo name="TableStyleMedium13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955AB288-031D-4987-8170-46DFB2930961}" name="Recipe10161922495255109114" displayName="Recipe10161922495255109114" ref="A2:D9" totalsRowShown="0" headerRowDxfId="549" dataDxfId="548">
  <autoFilter ref="A2:D9" xr:uid="{CB6E45FA-E11E-4A9C-88C7-88A6D81BC9D2}"/>
  <tableColumns count="4">
    <tableColumn id="1" xr3:uid="{FB249AAF-B567-4ED4-A842-2764B1F946FA}" name="חומר גלם" dataDxfId="547"/>
    <tableColumn id="2" xr3:uid="{8E097FBA-2679-4DE0-B33E-3F21BCCFFE6D}" name="כמות במתכון" dataDxfId="546"/>
    <tableColumn id="3" xr3:uid="{45B866F0-499A-4D76-88C6-3BB945D713D6}" name="יחידת מידה" dataDxfId="545">
      <calculatedColumnFormula>VLOOKUP(Recipe10161922495255109114[[#This Row],[חומר גלם]],'חומרי גלם'!A:D,4,0)</calculatedColumnFormula>
    </tableColumn>
    <tableColumn id="4" xr3:uid="{3AF70478-61E4-4E6F-B2D2-C495827CB7F4}" name="עלות למתכון" dataDxfId="544">
      <calculatedColumnFormula>ROUNDUP(Recipe10161922495255109114[[#This Row],[כמות במתכון]]*VLOOKUP(Recipe10161922495255109114[[#This Row],[חומר גלם]],'חומרי גלם'!A:D,2,0)/VLOOKUP(Recipe10161922495255109114[[#This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68D96501-9354-4E07-B663-FAFCAC4B69D1}" name="Work11172023505356110" displayName="Work11172023505356110" ref="F2:H3" totalsRowShown="0" headerRowDxfId="543" dataDxfId="542">
  <autoFilter ref="F2:H3" xr:uid="{D8C41056-C926-43F5-B200-BF554B577C99}"/>
  <tableColumns count="3">
    <tableColumn id="1" xr3:uid="{960D3734-3E4B-4C53-967F-3D3C25F4B44A}" name="שעות עבודה" dataDxfId="541"/>
    <tableColumn id="2" xr3:uid="{CD1D0367-BB79-40E4-9FF2-D4CF8BE77A38}" name="עלות לשעת עבודה" dataDxfId="540"/>
    <tableColumn id="3" xr3:uid="{83432730-83B7-4F6B-BF99-811EF1B9E908}" name="עלות עבודה" dataDxfId="539">
      <calculatedColumnFormula>Work11172023505356110[[#This Row],[עלות לשעת עבודה]]*Work11172023505356110[[#This Row],[שעות עבודה]]</calculatedColumnFormula>
    </tableColumn>
  </tableColumns>
  <tableStyleInfo name="TableStyleMedium14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9C51D576-996E-4879-816D-B026D3D9B2F1}" name="SinglePack12182124515457111" displayName="SinglePack12182124515457111" ref="O2:Q3" totalsRowShown="0" headerRowDxfId="538" dataDxfId="537">
  <autoFilter ref="O2:Q3" xr:uid="{3D8D31A1-E39A-4205-8A52-296A8CA9E240}"/>
  <tableColumns count="3">
    <tableColumn id="1" xr3:uid="{D0C08DD2-95EB-4779-9B7D-221B25326677}" name="מוצר" dataDxfId="536"/>
    <tableColumn id="2" xr3:uid="{324E4DED-368E-43EB-AFC6-6B9C8349FB47}" name="כמות" dataDxfId="535"/>
    <tableColumn id="3" xr3:uid="{415C89E7-F755-4B78-B26D-CFA6E526690C}" name="עלות" dataDxfId="534">
      <calculatedColumnFormula>ROUNDUP(VLOOKUP(SinglePack12182124515457111[[#This Row],[מוצר]],אריזות!A:C,2,0)/VLOOKUP(SinglePack12182124515457111[[#This Row],[מוצר]],אריזות!A:C,3,0)*SinglePack12182124515457111[[#This Row],[כמות]],2)</calculatedColumnFormula>
    </tableColumn>
  </tableColumns>
  <tableStyleInfo name="TableStyleMedium13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AFF41877-205C-4D71-B65E-F0039A7A08B2}" name="Recipe10161922495255109" displayName="Recipe10161922495255109" ref="A2:D8" totalsRowShown="0" headerRowDxfId="533" dataDxfId="532">
  <autoFilter ref="A2:D8" xr:uid="{CB6E45FA-E11E-4A9C-88C7-88A6D81BC9D2}"/>
  <tableColumns count="4">
    <tableColumn id="1" xr3:uid="{E04D9C7A-4A84-4876-98F9-3773C75481F8}" name="חומר גלם" dataDxfId="531"/>
    <tableColumn id="2" xr3:uid="{9E001A10-835E-44F7-9E93-FC7496DF564D}" name="כמות במתכון" dataDxfId="530"/>
    <tableColumn id="3" xr3:uid="{D1853A88-A6E9-45CF-A48C-548EE880A7BD}" name="יחידת מידה" dataDxfId="529">
      <calculatedColumnFormula>VLOOKUP(Recipe10161922495255109[[#This Row],[חומר גלם]],'חומרי גלם'!A:D,4,0)</calculatedColumnFormula>
    </tableColumn>
    <tableColumn id="4" xr3:uid="{0F5EA6DC-1781-4FCF-9D48-2F4FC62EDDC9}" name="עלות למתכון" dataDxfId="528">
      <calculatedColumnFormula>ROUNDUP(Recipe10161922495255109[[#This Row],[כמות במתכון]]*VLOOKUP(Recipe10161922495255109[[#This Row],[חומר גלם]],'חומרי גלם'!A:D,2,0)/VLOOKUP(Recipe10161922495255109[[#This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51F1C43C-9230-46CB-8F7D-7D088FCD7FA2}" name="Work1159626568717477808386929598101104107" displayName="Work1159626568717477808386929598101104107" ref="F2:H3" totalsRowShown="0" headerRowDxfId="527" dataDxfId="526">
  <autoFilter ref="F2:H3" xr:uid="{D8C41056-C926-43F5-B200-BF554B577C99}"/>
  <tableColumns count="3">
    <tableColumn id="1" xr3:uid="{2C34F988-DBA9-4DED-A07E-FB45FDAE4858}" name="שעות עבודה" dataDxfId="525"/>
    <tableColumn id="2" xr3:uid="{C2BF9D58-0FE3-47BE-82C1-820D42484905}" name="עלות לשעת עבודה" dataDxfId="524"/>
    <tableColumn id="3" xr3:uid="{33926E4B-4AAE-4A60-AD22-5A2998AFECAB}" name="עלות עבודה" dataDxfId="523">
      <calculatedColumnFormula>Work1159626568717477808386929598101104107[[#This Row],[עלות לשעת עבודה]]*Work1159626568717477808386929598101104107[[#This Row],[שעות עבודה]]</calculatedColumnFormula>
    </tableColumn>
  </tableColumns>
  <tableStyleInfo name="TableStyleMedium14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EEAAC659-B5DE-4221-92A2-F368BFF7A57B}" name="SinglePack1260636669727578818487939699102105108" displayName="SinglePack1260636669727578818487939699102105108" ref="O2:Q3" totalsRowShown="0" headerRowDxfId="522" dataDxfId="521">
  <autoFilter ref="O2:Q3" xr:uid="{3D8D31A1-E39A-4205-8A52-296A8CA9E240}"/>
  <tableColumns count="3">
    <tableColumn id="1" xr3:uid="{C63B7D3B-0811-493F-BA47-CBAFFA5D8EF9}" name="מוצר" dataDxfId="520"/>
    <tableColumn id="2" xr3:uid="{6BB0898E-8E4C-4DE2-AD62-67012628029C}" name="כמות" dataDxfId="519"/>
    <tableColumn id="3" xr3:uid="{C9E020A8-A2EC-4E96-84A3-29AC20AFAEA4}" name="עלות" dataDxfId="518">
      <calculatedColumnFormula>ROUNDUP(VLOOKUP(SinglePack1260636669727578818487939699102105108[[#This Row],[מוצר]],אריזות!A:C,2,0)/VLOOKUP(SinglePack1260636669727578818487939699102105108[[#This Row],[מוצר]],אריזות!A:C,3,0)*SinglePack1260636669727578818487939699102105108[[#This Row],[כמות]],2)</calculatedColumnFormula>
    </tableColumn>
  </tableColumns>
  <tableStyleInfo name="TableStyleMedium13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81DA22E4-45EB-4696-8733-39A6BDF98036}" name="Recipe1058616467707376798285919497100103106" displayName="Recipe1058616467707376798285919497100103106" ref="A2:D10" totalsRowShown="0" headerRowDxfId="517" dataDxfId="516">
  <autoFilter ref="A2:D10" xr:uid="{CB6E45FA-E11E-4A9C-88C7-88A6D81BC9D2}"/>
  <tableColumns count="4">
    <tableColumn id="1" xr3:uid="{599D5450-6FC8-43EC-9EAC-B9D1DAEF502E}" name="חומר גלם" dataDxfId="515"/>
    <tableColumn id="2" xr3:uid="{72B75216-3613-4234-B6D5-A2F463E18DF5}" name="כמות במתכון" dataDxfId="514"/>
    <tableColumn id="3" xr3:uid="{71DF6929-8B57-4C14-BF43-C354254D63D7}" name="יחידת מידה" dataDxfId="513">
      <calculatedColumnFormula>VLOOKUP(Recipe1058616467707376798285919497100103106[[#This Row],[חומר גלם]],'חומרי גלם'!A:D,4,0)</calculatedColumnFormula>
    </tableColumn>
    <tableColumn id="4" xr3:uid="{E5C8F5EE-316C-4093-A809-2BE606DF21E7}" name="עלות למתכון" dataDxfId="512">
      <calculatedColumnFormula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9D6B2F57-2D8F-44F9-9303-AE37B2576D5D}" name="Recipe1058616467707376798285919497100103" displayName="Recipe1058616467707376798285919497100103" ref="A2:D10" totalsRowShown="0" headerRowDxfId="511" dataDxfId="510">
  <autoFilter ref="A2:D10" xr:uid="{CB6E45FA-E11E-4A9C-88C7-88A6D81BC9D2}"/>
  <tableColumns count="4">
    <tableColumn id="1" xr3:uid="{A516D67E-DB14-4F9C-958C-FAD5B18EF85F}" name="חומר גלם" dataDxfId="509"/>
    <tableColumn id="2" xr3:uid="{096E762B-B21E-473B-88D2-9FE4269D7AFB}" name="כמות במתכון" dataDxfId="508"/>
    <tableColumn id="3" xr3:uid="{ED8F8884-2F11-4427-BEC1-D123AF879D43}" name="יחידת מידה" dataDxfId="507">
      <calculatedColumnFormula>VLOOKUP(Recipe1058616467707376798285919497100103[[#This Row],[חומר גלם]],'חומרי גלם'!A:D,4,0)</calculatedColumnFormula>
    </tableColumn>
    <tableColumn id="4" xr3:uid="{38A50716-A1FB-4DEC-96EE-870C9581D40E}" name="עלות למתכון" dataDxfId="506">
      <calculatedColumnFormula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FBF73E74-E300-4112-8319-6E1089594586}" name="Work1159626568717477808386929598101104" displayName="Work1159626568717477808386929598101104" ref="F2:H3" totalsRowShown="0" headerRowDxfId="505" dataDxfId="504">
  <autoFilter ref="F2:H3" xr:uid="{D8C41056-C926-43F5-B200-BF554B577C99}"/>
  <tableColumns count="3">
    <tableColumn id="1" xr3:uid="{F2418E94-EE1B-481D-B3B9-C2D7E087AAD1}" name="שעות עבודה" dataDxfId="503"/>
    <tableColumn id="2" xr3:uid="{E16B13E7-48B4-4292-8C31-16AAC90A9234}" name="עלות לשעת עבודה" dataDxfId="502"/>
    <tableColumn id="3" xr3:uid="{C4BE99B7-86D1-45D8-B9D5-162264EC77FC}" name="עלות עבודה" dataDxfId="501">
      <calculatedColumnFormula>Work1159626568717477808386929598101104[[#This Row],[עלות לשעת עבודה]]*Work1159626568717477808386929598101104[[#This Row],[שעות עבודה]]</calculatedColumnFormula>
    </tableColumn>
  </tableColumns>
  <tableStyleInfo name="TableStyleMedium14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4190F25D-0FA2-4D4E-B6C7-798035FD00FB}" name="SinglePack1260636669727578818487939699102105" displayName="SinglePack1260636669727578818487939699102105" ref="O2:Q3" totalsRowShown="0" headerRowDxfId="500" dataDxfId="499">
  <autoFilter ref="O2:Q3" xr:uid="{3D8D31A1-E39A-4205-8A52-296A8CA9E240}"/>
  <tableColumns count="3">
    <tableColumn id="1" xr3:uid="{CECC1287-7D4A-437F-8528-FB950D4D2E6F}" name="מוצר" dataDxfId="498"/>
    <tableColumn id="2" xr3:uid="{6601544D-33A7-49B9-9BA7-05877EEB5896}" name="כמות" dataDxfId="497"/>
    <tableColumn id="3" xr3:uid="{8F91343F-840E-45F2-A416-6776A0B28A25}" name="עלות" dataDxfId="496">
      <calculatedColumnFormula>ROUNDUP(VLOOKUP(SinglePack1260636669727578818487939699102105[[#This Row],[מוצר]],אריזות!A:C,2,0)/VLOOKUP(SinglePack1260636669727578818487939699102105[[#This Row],[מוצר]],אריזות!A:C,3,0)*SinglePack1260636669727578818487939699102105[[#This Row],[כמות]],2)</calculatedColumnFormula>
    </tableColumn>
  </tableColumns>
  <tableStyleInfo name="TableStyleMedium13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9CC827F1-5B1C-4456-97EA-5B8295C719D6}" name="Recipe1058616467707376798285919497100" displayName="Recipe1058616467707376798285919497100" ref="A2:D10" totalsRowShown="0" headerRowDxfId="495" dataDxfId="494">
  <autoFilter ref="A2:D10" xr:uid="{CB6E45FA-E11E-4A9C-88C7-88A6D81BC9D2}"/>
  <tableColumns count="4">
    <tableColumn id="1" xr3:uid="{0C214A90-2394-4054-84E5-9DB15875E150}" name="חומר גלם" dataDxfId="493"/>
    <tableColumn id="2" xr3:uid="{A5C0855F-41E9-4507-BE7A-5DCEF03F0C0D}" name="כמות במתכון" dataDxfId="492"/>
    <tableColumn id="3" xr3:uid="{AB237A75-707F-44B4-BA56-94E43160778E}" name="יחידת מידה" dataDxfId="491">
      <calculatedColumnFormula>VLOOKUP(Recipe1058616467707376798285919497100[[#This Row],[חומר גלם]],'חומרי גלם'!A:D,4,0)</calculatedColumnFormula>
    </tableColumn>
    <tableColumn id="4" xr3:uid="{D95E076B-8582-41A0-A22F-DC2C58E405C8}" name="עלות למתכון" dataDxfId="490">
      <calculatedColumnFormula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314DC964-5170-46CE-92FD-FC9746788ADB}" name="Work1159626568717477808386929598101" displayName="Work1159626568717477808386929598101" ref="F2:H3" totalsRowShown="0" headerRowDxfId="489" dataDxfId="488">
  <autoFilter ref="F2:H3" xr:uid="{D8C41056-C926-43F5-B200-BF554B577C99}"/>
  <tableColumns count="3">
    <tableColumn id="1" xr3:uid="{5795A984-C86E-44A6-97F0-3E764F501995}" name="שעות עבודה" dataDxfId="487"/>
    <tableColumn id="2" xr3:uid="{D6FDFCBC-B6BD-4C52-A6F5-B1D2FF0968B5}" name="עלות לשעת עבודה" dataDxfId="486"/>
    <tableColumn id="3" xr3:uid="{E8E1A930-73C1-41E3-8F0B-75432E14EB1D}" name="עלות עבודה" dataDxfId="485">
      <calculatedColumnFormula>Work1159626568717477808386929598101[[#This Row],[עלות לשעת עבודה]]*Work1159626568717477808386929598101[[#This Row],[שעות עבודה]]</calculatedColumnFormula>
    </tableColumn>
  </tableColumns>
  <tableStyleInfo name="TableStyleMedium14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BD2FE479-EC25-4F3D-817D-21CA64E5D389}" name="SinglePack1260636669727578818487939699102" displayName="SinglePack1260636669727578818487939699102" ref="O2:Q3" totalsRowShown="0" headerRowDxfId="484" dataDxfId="483">
  <autoFilter ref="O2:Q3" xr:uid="{3D8D31A1-E39A-4205-8A52-296A8CA9E240}"/>
  <tableColumns count="3">
    <tableColumn id="1" xr3:uid="{2F6035E2-8262-42C4-A086-3959EEB3FA5B}" name="מוצר" dataDxfId="482"/>
    <tableColumn id="2" xr3:uid="{6A8D881B-B8CE-4672-90EB-49EAD5DF5AD1}" name="כמות" dataDxfId="481"/>
    <tableColumn id="3" xr3:uid="{EA43BE33-DBBB-44BB-831E-02DFF994CAC6}" name="עלות" dataDxfId="480">
      <calculatedColumnFormula>ROUNDUP(VLOOKUP(SinglePack1260636669727578818487939699102[[#This Row],[מוצר]],אריזות!A:C,2,0)/VLOOKUP(SinglePack1260636669727578818487939699102[[#This Row],[מוצר]],אריזות!A:C,3,0)*SinglePack1260636669727578818487939699102[[#This Row],[כמות]],2)</calculatedColumnFormula>
    </tableColumn>
  </tableColumns>
  <tableStyleInfo name="TableStyleMedium13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E6D9EB92-5F9D-46AD-9300-0B55AA7E6958}" name="Recipe1058616467707376798285919497" displayName="Recipe1058616467707376798285919497" ref="A2:D18" totalsRowShown="0" headerRowDxfId="479" dataDxfId="478">
  <autoFilter ref="A2:D18" xr:uid="{CB6E45FA-E11E-4A9C-88C7-88A6D81BC9D2}"/>
  <tableColumns count="4">
    <tableColumn id="1" xr3:uid="{BC31651D-31FB-4698-BD02-B2276085CC35}" name="חומר גלם" dataDxfId="477"/>
    <tableColumn id="2" xr3:uid="{9A9D5E1D-ED01-4332-A17A-A22E22A75153}" name="כמות במתכון" dataDxfId="476"/>
    <tableColumn id="3" xr3:uid="{1ECC397F-FE63-4271-A2D9-AE8101F2B61B}" name="יחידת מידה" dataDxfId="475">
      <calculatedColumnFormula>VLOOKUP(Recipe1058616467707376798285919497[[#This Row],[חומר גלם]],'חומרי גלם'!A:D,4,0)</calculatedColumnFormula>
    </tableColumn>
    <tableColumn id="4" xr3:uid="{68A17685-6583-488C-AFE7-4903B55BACA8}" name="עלות למתכון" dataDxfId="474">
      <calculatedColumnFormula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5DE6FFD8-20A2-45F8-AFF6-642075A3BC00}" name="Work1159626568717477808386929598" displayName="Work1159626568717477808386929598" ref="F2:H3" totalsRowShown="0" headerRowDxfId="473" dataDxfId="472">
  <autoFilter ref="F2:H3" xr:uid="{D8C41056-C926-43F5-B200-BF554B577C99}"/>
  <tableColumns count="3">
    <tableColumn id="1" xr3:uid="{C9BF6704-B34E-4DF0-AF23-B1FFF3090A4C}" name="שעות עבודה" dataDxfId="471"/>
    <tableColumn id="2" xr3:uid="{E9DAFDAA-CD8A-4678-B74C-2121ABBB2174}" name="עלות לשעת עבודה" dataDxfId="470"/>
    <tableColumn id="3" xr3:uid="{D005805C-F4B3-4286-9B63-EB6B2483B770}" name="עלות עבודה" dataDxfId="469">
      <calculatedColumnFormula>Work1159626568717477808386929598[[#This Row],[עלות לשעת עבודה]]*Work1159626568717477808386929598[[#This Row],[שעות עבודה]]</calculatedColumnFormula>
    </tableColumn>
  </tableColumns>
  <tableStyleInfo name="TableStyleMedium14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B87A3614-C437-46B1-98A7-BA9B071775DD}" name="SinglePack1260636669727578818487939699" displayName="SinglePack1260636669727578818487939699" ref="O2:Q3" totalsRowShown="0" headerRowDxfId="468" dataDxfId="467">
  <autoFilter ref="O2:Q3" xr:uid="{3D8D31A1-E39A-4205-8A52-296A8CA9E240}"/>
  <tableColumns count="3">
    <tableColumn id="1" xr3:uid="{4C269A2F-6F92-4171-B3B2-7BCF983495C1}" name="מוצר" dataDxfId="466"/>
    <tableColumn id="2" xr3:uid="{2A419379-94C4-4A08-B576-4B7B07AD9D34}" name="כמות" dataDxfId="465"/>
    <tableColumn id="3" xr3:uid="{0DCA5AF7-4BD6-4C95-8569-FB9317B467BA}" name="עלות" dataDxfId="464">
      <calculatedColumnFormula>ROUNDUP(VLOOKUP(SinglePack1260636669727578818487939699[[#This Row],[מוצר]],אריזות!A:C,2,0)/VLOOKUP(SinglePack1260636669727578818487939699[[#This Row],[מוצר]],אריזות!A:C,3,0)*SinglePack1260636669727578818487939699[[#This Row],[כמות]],2)</calculatedColumnFormula>
    </tableColumn>
  </tableColumns>
  <tableStyleInfo name="TableStyleMedium13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B0BD69DE-C8F2-4233-8B8D-B5F48BECAB3E}" name="Recipe10586164677073767982859194" displayName="Recipe10586164677073767982859194" ref="A2:D18" totalsRowShown="0" headerRowDxfId="463" dataDxfId="462">
  <autoFilter ref="A2:D18" xr:uid="{CB6E45FA-E11E-4A9C-88C7-88A6D81BC9D2}"/>
  <tableColumns count="4">
    <tableColumn id="1" xr3:uid="{AA139A2B-81BC-4477-8E30-043904DF476F}" name="חומר גלם" dataDxfId="461"/>
    <tableColumn id="2" xr3:uid="{3EF89400-AC6D-4E36-BD58-22C8FB00E2A1}" name="כמות במתכון" dataDxfId="460"/>
    <tableColumn id="3" xr3:uid="{19087D5C-D7B9-4F1F-985F-5BF19187CF54}" name="יחידת מידה" dataDxfId="459">
      <calculatedColumnFormula>VLOOKUP(Recipe10586164677073767982859194[[#This Row],[חומר גלם]],'חומרי גלם'!A:D,4,0)</calculatedColumnFormula>
    </tableColumn>
    <tableColumn id="4" xr3:uid="{7684A66D-3B28-4F60-93EA-913D5C7C9CEC}" name="עלות למתכון" dataDxfId="458">
      <calculatedColumnFormula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03B03008-6FCD-427C-98E9-DF0D6FDFA136}" name="Work11596265687174778083869295" displayName="Work11596265687174778083869295" ref="F2:H3" totalsRowShown="0" headerRowDxfId="457" dataDxfId="456">
  <autoFilter ref="F2:H3" xr:uid="{D8C41056-C926-43F5-B200-BF554B577C99}"/>
  <tableColumns count="3">
    <tableColumn id="1" xr3:uid="{DC2EB720-E736-4B3F-B6CD-B98AF7F30A14}" name="שעות עבודה" dataDxfId="455"/>
    <tableColumn id="2" xr3:uid="{7E2595C4-ED49-4B9A-9E2D-B09B56CEE9CC}" name="עלות לשעת עבודה" dataDxfId="454"/>
    <tableColumn id="3" xr3:uid="{C53C7B76-505A-4BB5-9253-DA8004C68541}" name="עלות עבודה" dataDxfId="453">
      <calculatedColumnFormula>Work11596265687174778083869295[[#This Row],[עלות לשעת עבודה]]*Work11596265687174778083869295[[#This Row],[שעות עבודה]]</calculatedColumnFormula>
    </tableColumn>
  </tableColumns>
  <tableStyleInfo name="TableStyleMedium14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615DC625-7973-4BEA-8DB2-2D368496DEFB}" name="SinglePack12606366697275788184879396" displayName="SinglePack12606366697275788184879396" ref="O2:Q3" totalsRowShown="0" headerRowDxfId="452" dataDxfId="451">
  <autoFilter ref="O2:Q3" xr:uid="{3D8D31A1-E39A-4205-8A52-296A8CA9E240}"/>
  <tableColumns count="3">
    <tableColumn id="1" xr3:uid="{89E9E959-0369-4E49-991E-B8F1B2AE375A}" name="מוצר" dataDxfId="450"/>
    <tableColumn id="2" xr3:uid="{990FF462-D357-4C8F-91D7-064A0167CD0B}" name="כמות" dataDxfId="449"/>
    <tableColumn id="3" xr3:uid="{006BB257-17B8-488C-BED5-CD255081E36A}" name="עלות" dataDxfId="448">
      <calculatedColumnFormula>ROUNDUP(VLOOKUP(SinglePack12606366697275788184879396[[#This Row],[מוצר]],אריזות!A:C,2,0)/VLOOKUP(SinglePack12606366697275788184879396[[#This Row],[מוצר]],אריזות!A:C,3,0)*SinglePack12606366697275788184879396[[#This Row],[כמות]],2)</calculatedColumnFormula>
    </tableColumn>
  </tableColumns>
  <tableStyleInfo name="TableStyleMedium13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E0946A56-228E-4231-891F-83D5067E1940}" name="Recipe105861646770737679828591" displayName="Recipe105861646770737679828591" ref="A2:D18" totalsRowShown="0" headerRowDxfId="447" dataDxfId="446">
  <autoFilter ref="A2:D18" xr:uid="{CB6E45FA-E11E-4A9C-88C7-88A6D81BC9D2}"/>
  <tableColumns count="4">
    <tableColumn id="1" xr3:uid="{600109CA-8007-4F77-AFD5-712B7AB302E6}" name="חומר גלם" dataDxfId="445"/>
    <tableColumn id="2" xr3:uid="{E49CEC64-77FB-49AB-8641-19051A6EF603}" name="כמות במתכון" dataDxfId="444"/>
    <tableColumn id="3" xr3:uid="{A2F2D601-23C7-4B67-8D95-D78A889C74C3}" name="יחידת מידה" dataDxfId="443">
      <calculatedColumnFormula>VLOOKUP(Recipe105861646770737679828591[[#This Row],[חומר גלם]],'חומרי גלם'!A:D,4,0)</calculatedColumnFormula>
    </tableColumn>
    <tableColumn id="4" xr3:uid="{8D9DAB7F-2B47-4CDE-A04E-09251618C4CD}" name="עלות למתכון" dataDxfId="442">
      <calculatedColumnFormula>ROUNDUP(Recipe105861646770737679828591[[#This Row],[כמות במתכון]]*VLOOKUP(Recipe105861646770737679828591[[#This Row],[חומר גלם]],'חומרי גלם'!A:D,2,0)/VLOOKUP(Recipe105861646770737679828591[[#This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ED2ABA72-2876-410A-9F34-BE0CE4A592A0}" name="Work115962656871747780838692" displayName="Work115962656871747780838692" ref="F2:H3" totalsRowShown="0" headerRowDxfId="441" dataDxfId="440">
  <autoFilter ref="F2:H3" xr:uid="{D8C41056-C926-43F5-B200-BF554B577C99}"/>
  <tableColumns count="3">
    <tableColumn id="1" xr3:uid="{40B8ADE9-A619-46A5-B2E9-ED03F2B1ACAD}" name="שעות עבודה" dataDxfId="439"/>
    <tableColumn id="2" xr3:uid="{D44AACEA-545A-4C0B-BF5C-331E0A808671}" name="עלות לשעת עבודה" dataDxfId="438"/>
    <tableColumn id="3" xr3:uid="{23E8FA18-D4D0-4C83-A9B0-CFE792DC600D}" name="עלות עבודה" dataDxfId="437">
      <calculatedColumnFormula>Work115962656871747780838692[[#This Row],[עלות לשעת עבודה]]*Work115962656871747780838692[[#This Row],[שעות עבודה]]</calculatedColumnFormula>
    </tableColumn>
  </tableColumns>
  <tableStyleInfo name="TableStyleMedium14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1DF0553-3424-4406-880A-CFC3857E776B}" name="SinglePack126063666972757881848793" displayName="SinglePack126063666972757881848793" ref="O2:Q3" totalsRowShown="0" headerRowDxfId="436" dataDxfId="435">
  <autoFilter ref="O2:Q3" xr:uid="{3D8D31A1-E39A-4205-8A52-296A8CA9E240}"/>
  <tableColumns count="3">
    <tableColumn id="1" xr3:uid="{D8C8F8BF-7E8B-4DC5-8C5F-678EF4FA726D}" name="מוצר" dataDxfId="434"/>
    <tableColumn id="2" xr3:uid="{0082CC98-3B8E-4655-A456-BAE50795EDDA}" name="כמות" dataDxfId="433"/>
    <tableColumn id="3" xr3:uid="{68319F6B-C464-45F7-8679-22CCB6FE1D52}" name="עלות" dataDxfId="432">
      <calculatedColumnFormula>ROUNDUP(VLOOKUP(SinglePack126063666972757881848793[[#This Row],[מוצר]],אריזות!A:C,2,0)/VLOOKUP(SinglePack126063666972757881848793[[#This Row],[מוצר]],אריזות!A:C,3,0)*SinglePack126063666972757881848793[[#This Row],[כמות]],2)</calculatedColumnFormula>
    </tableColumn>
  </tableColumns>
  <tableStyleInfo name="TableStyleMedium13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AB4BD58C-4745-4887-BF11-9D1C3154C297}" name="Recipe1058616467707376798285" displayName="Recipe1058616467707376798285" ref="A2:D11" totalsRowShown="0" headerRowDxfId="431" dataDxfId="430">
  <autoFilter ref="A2:D11" xr:uid="{CB6E45FA-E11E-4A9C-88C7-88A6D81BC9D2}"/>
  <tableColumns count="4">
    <tableColumn id="1" xr3:uid="{33D330D8-4A43-4F70-8CF8-8DCC273D428C}" name="חומר גלם" dataDxfId="429"/>
    <tableColumn id="2" xr3:uid="{AE9B5761-615D-4C5F-9FA7-8E67AD8FFA86}" name="כמות במתכון" dataDxfId="428"/>
    <tableColumn id="3" xr3:uid="{9E5E2EFC-8642-4843-A917-2C68FC1030DB}" name="יחידת מידה" dataDxfId="427">
      <calculatedColumnFormula>VLOOKUP(Recipe1058616467707376798285[[#This Row],[חומר גלם]],'חומרי גלם'!A:D,4,0)</calculatedColumnFormula>
    </tableColumn>
    <tableColumn id="4" xr3:uid="{F3365551-AD40-4B02-97D6-83C7B392F46B}" name="עלות למתכון" dataDxfId="426">
      <calculatedColumnFormula>ROUNDUP(Recipe1058616467707376798285[[#This Row],[כמות במתכון]]*VLOOKUP(Recipe1058616467707376798285[[#This Row],[חומר גלם]],'חומרי גלם'!A:D,2,0)/VLOOKUP(Recipe1058616467707376798285[[#This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89E8085D-DA98-416E-846F-F445A2BBF47F}" name="Work1159626568717477808386" displayName="Work1159626568717477808386" ref="F2:H3" totalsRowShown="0" headerRowDxfId="425" dataDxfId="424">
  <autoFilter ref="F2:H3" xr:uid="{D8C41056-C926-43F5-B200-BF554B577C99}"/>
  <tableColumns count="3">
    <tableColumn id="1" xr3:uid="{E66913FD-36FF-4839-B379-24BFEA24097F}" name="שעות עבודה" dataDxfId="423"/>
    <tableColumn id="2" xr3:uid="{6B442945-95CE-4FA6-9FB2-538FF760F0B9}" name="עלות לשעת עבודה" dataDxfId="422"/>
    <tableColumn id="3" xr3:uid="{2E10A0B2-07FD-438F-9633-A0F7313F1D09}" name="עלות עבודה" dataDxfId="421">
      <calculatedColumnFormula>Work1159626568717477808386[[#This Row],[עלות לשעת עבודה]]*Work1159626568717477808386[[#This Row],[שעות עבודה]]</calculatedColumnFormula>
    </tableColumn>
  </tableColumns>
  <tableStyleInfo name="TableStyleMedium14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DA3E3774-41AC-46E7-AEE2-8B14D714DF15}" name="SinglePack1260636669727578818487" displayName="SinglePack1260636669727578818487" ref="O2:Q3" totalsRowShown="0" headerRowDxfId="420" dataDxfId="419">
  <autoFilter ref="O2:Q3" xr:uid="{3D8D31A1-E39A-4205-8A52-296A8CA9E240}"/>
  <tableColumns count="3">
    <tableColumn id="1" xr3:uid="{A3E696E0-C167-459C-B1C6-12FE8C8C8E78}" name="מוצר" dataDxfId="418"/>
    <tableColumn id="2" xr3:uid="{1FAABD1A-E874-41C3-A268-E1D4E34F0650}" name="כמות" dataDxfId="417"/>
    <tableColumn id="3" xr3:uid="{FF5C5A98-DB6C-4519-88B6-F94B7B2E8B15}" name="עלות" dataDxfId="416">
      <calculatedColumnFormula>ROUNDUP(VLOOKUP(SinglePack1260636669727578818487[[#This Row],[מוצר]],אריזות!A:C,2,0)/VLOOKUP(SinglePack1260636669727578818487[[#This Row],[מוצר]],אריזות!A:C,3,0)*SinglePack1260636669727578818487[[#This Row],[כמות]],2)</calculatedColumnFormula>
    </tableColumn>
  </tableColumns>
  <tableStyleInfo name="TableStyleMedium13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33150BC1-C2B3-480F-A4EA-5BDE83E23203}" name="Recipe105861646770737679828588" displayName="Recipe105861646770737679828588" ref="A2:D12" totalsRowShown="0" headerRowDxfId="415" dataDxfId="414">
  <autoFilter ref="A2:D12" xr:uid="{CB6E45FA-E11E-4A9C-88C7-88A6D81BC9D2}"/>
  <tableColumns count="4">
    <tableColumn id="1" xr3:uid="{6D774845-A2BD-4F04-A8C6-ACEDDE58E330}" name="חומר גלם" dataDxfId="413"/>
    <tableColumn id="2" xr3:uid="{AD5DE6E7-EE55-4636-B7B8-173F2B8C4950}" name="כמות במתכון" dataDxfId="412"/>
    <tableColumn id="3" xr3:uid="{62A9DFF6-E580-4845-943D-1809104DE028}" name="יחידת מידה" dataDxfId="411">
      <calculatedColumnFormula>VLOOKUP(Recipe105861646770737679828588[[#This Row],[חומר גלם]],'חומרי גלם'!A:D,4,0)</calculatedColumnFormula>
    </tableColumn>
    <tableColumn id="4" xr3:uid="{BC955C9D-A1C0-40F9-B2DE-5ABE76C741D1}" name="עלות למתכון" dataDxfId="410">
      <calculatedColumnFormula>ROUNDUP(Recipe105861646770737679828588[[#This Row],[כמות במתכון]]*VLOOKUP(Recipe105861646770737679828588[[#This Row],[חומר גלם]],'חומרי גלם'!A:D,2,0)/VLOOKUP(Recipe105861646770737679828588[[#This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F589188F-51FE-4BF2-BC54-02FF76C8E1E0}" name="Work115962656871747780838689" displayName="Work115962656871747780838689" ref="F2:H3" totalsRowShown="0" headerRowDxfId="409" dataDxfId="408">
  <autoFilter ref="F2:H3" xr:uid="{D8C41056-C926-43F5-B200-BF554B577C99}"/>
  <tableColumns count="3">
    <tableColumn id="1" xr3:uid="{20B3B563-3EB2-4E11-8308-598D3C373FF1}" name="שעות עבודה" dataDxfId="407"/>
    <tableColumn id="2" xr3:uid="{657EE75A-8C23-4E2D-BE8D-9DB26AA5B966}" name="עלות לשעת עבודה" dataDxfId="406"/>
    <tableColumn id="3" xr3:uid="{43E3340D-9AD5-4F48-BEA4-DA10F1FF314A}" name="עלות עבודה" dataDxfId="405">
      <calculatedColumnFormula>Work115962656871747780838689[[#This Row],[עלות לשעת עבודה]]*Work115962656871747780838689[[#This Row],[שעות עבודה]]</calculatedColumnFormula>
    </tableColumn>
  </tableColumns>
  <tableStyleInfo name="TableStyleMedium14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2B29B34A-03AA-4092-9714-D28E4B4AC71B}" name="SinglePack126063666972757881848790" displayName="SinglePack126063666972757881848790" ref="O2:Q3" totalsRowShown="0" headerRowDxfId="404" dataDxfId="403">
  <autoFilter ref="O2:Q3" xr:uid="{3D8D31A1-E39A-4205-8A52-296A8CA9E240}"/>
  <tableColumns count="3">
    <tableColumn id="1" xr3:uid="{F4EE062E-582D-4D33-A62E-5FC1A18BD619}" name="מוצר" dataDxfId="402"/>
    <tableColumn id="2" xr3:uid="{A22037DB-0138-4011-940E-33BD1F40318F}" name="כמות" dataDxfId="401"/>
    <tableColumn id="3" xr3:uid="{A424D95B-B512-43F2-9472-22EE93A19765}" name="עלות" dataDxfId="400">
      <calculatedColumnFormula>ROUNDUP(VLOOKUP(SinglePack126063666972757881848790[[#This Row],[מוצר]],אריזות!A:C,2,0)/VLOOKUP(SinglePack126063666972757881848790[[#This Row],[מוצר]],אריזות!A:C,3,0)*SinglePack126063666972757881848790[[#This Row],[כמות]],2)</calculatedColumnFormula>
    </tableColumn>
  </tableColumns>
  <tableStyleInfo name="TableStyleMedium13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083B1482-ECA7-4EB5-870F-6EA5190FA421}" name="Recipe10586164677073767982" displayName="Recipe10586164677073767982" ref="A2:D11" totalsRowShown="0" headerRowDxfId="399" dataDxfId="398">
  <autoFilter ref="A2:D11" xr:uid="{CB6E45FA-E11E-4A9C-88C7-88A6D81BC9D2}"/>
  <tableColumns count="4">
    <tableColumn id="1" xr3:uid="{AB21F51E-65D1-4BA0-B826-4ED9CF650286}" name="חומר גלם" dataDxfId="397"/>
    <tableColumn id="2" xr3:uid="{13BF52DD-8889-4691-BFE9-1EE8275CC4CE}" name="כמות במתכון" dataDxfId="396"/>
    <tableColumn id="3" xr3:uid="{8690D0A4-AD79-456A-B4B2-BC3D5840C8CD}" name="יחידת מידה" dataDxfId="395">
      <calculatedColumnFormula>VLOOKUP(Recipe10586164677073767982[[#This Row],[חומר גלם]],'חומרי גלם'!A:D,4,0)</calculatedColumnFormula>
    </tableColumn>
    <tableColumn id="4" xr3:uid="{294DAA4B-B6FA-413F-A0EB-C0BBBE8BF964}" name="עלות למתכון" dataDxfId="394">
      <calculatedColumnFormula>ROUNDUP(Recipe10586164677073767982[[#This Row],[כמות במתכון]]*VLOOKUP(Recipe10586164677073767982[[#This Row],[חומר גלם]],'חומרי גלם'!A:D,2,0)/VLOOKUP(Recipe10586164677073767982[[#This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5B5FB10C-4451-49AE-9167-065824CC6924}" name="Work11596265687174778083" displayName="Work11596265687174778083" ref="F2:H3" totalsRowShown="0" headerRowDxfId="393" dataDxfId="392">
  <autoFilter ref="F2:H3" xr:uid="{D8C41056-C926-43F5-B200-BF554B577C99}"/>
  <tableColumns count="3">
    <tableColumn id="1" xr3:uid="{72725FF5-4204-4890-8DAB-A37D359C11ED}" name="שעות עבודה" dataDxfId="391"/>
    <tableColumn id="2" xr3:uid="{B0A2810D-9837-489E-A251-C777998F9844}" name="עלות לשעת עבודה" dataDxfId="390"/>
    <tableColumn id="3" xr3:uid="{5DF3EF7F-D1F1-41E2-A67A-F2713484920C}" name="עלות עבודה" dataDxfId="389">
      <calculatedColumnFormula>Work11596265687174778083[[#This Row],[עלות לשעת עבודה]]*Work11596265687174778083[[#This Row],[שעות עבודה]]</calculatedColumnFormula>
    </tableColumn>
  </tableColumns>
  <tableStyleInfo name="TableStyleMedium14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A5606B63-D935-4CEE-8AA9-92503841370F}" name="SinglePack12606366697275788184" displayName="SinglePack12606366697275788184" ref="O2:Q3" totalsRowShown="0" headerRowDxfId="388" dataDxfId="387">
  <autoFilter ref="O2:Q3" xr:uid="{3D8D31A1-E39A-4205-8A52-296A8CA9E240}"/>
  <tableColumns count="3">
    <tableColumn id="1" xr3:uid="{A763DBE0-643B-41B1-BB40-4A13E7498568}" name="מוצר" dataDxfId="386"/>
    <tableColumn id="2" xr3:uid="{9DA56961-F98A-46F5-9B83-8E7879F23273}" name="כמות" dataDxfId="385"/>
    <tableColumn id="3" xr3:uid="{D3F3BAC6-1351-4371-8356-D05BA8537389}" name="עלות" dataDxfId="384">
      <calculatedColumnFormula>ROUNDUP(VLOOKUP(SinglePack12606366697275788184[[#This Row],[מוצר]],אריזות!A:C,2,0)/VLOOKUP(SinglePack12606366697275788184[[#This Row],[מוצר]],אריזות!A:C,3,0)*SinglePack12606366697275788184[[#This Row],[כמות]],2)</calculatedColumnFormula>
    </tableColumn>
  </tableColumns>
  <tableStyleInfo name="TableStyleMedium13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033EF047-99FD-45FD-91FE-F4BE6A219312}" name="Recipe105861646770737679" displayName="Recipe105861646770737679" ref="A2:D10" totalsRowShown="0" headerRowDxfId="383" dataDxfId="382">
  <autoFilter ref="A2:D10" xr:uid="{CB6E45FA-E11E-4A9C-88C7-88A6D81BC9D2}"/>
  <tableColumns count="4">
    <tableColumn id="1" xr3:uid="{FA3D3284-B52B-458E-94B3-913B15315B14}" name="חומר גלם" dataDxfId="381"/>
    <tableColumn id="2" xr3:uid="{09E7D534-15A7-4F02-9CFE-3E1204EF8954}" name="כמות במתכון" dataDxfId="380"/>
    <tableColumn id="3" xr3:uid="{71F2E629-CDFC-4C75-9F70-008E11BA59B5}" name="יחידת מידה" dataDxfId="379">
      <calculatedColumnFormula>VLOOKUP(Recipe105861646770737679[[#This Row],[חומר גלם]],'חומרי גלם'!A:D,4,0)</calculatedColumnFormula>
    </tableColumn>
    <tableColumn id="4" xr3:uid="{DC159109-3AFF-42E1-8285-D0F0463A173D}" name="עלות למתכון" dataDxfId="378">
      <calculatedColumnFormula>ROUNDUP(Recipe105861646770737679[[#This Row],[כמות במתכון]]*VLOOKUP(Recipe105861646770737679[[#This Row],[חומר גלם]],'חומרי גלם'!A:D,2,0)/VLOOKUP(Recipe105861646770737679[[#This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4B5C5DB6-133C-4928-9B21-F9769B5F6F24}" name="Work115962656871747780" displayName="Work115962656871747780" ref="F2:H3" totalsRowShown="0" headerRowDxfId="377" dataDxfId="376">
  <autoFilter ref="F2:H3" xr:uid="{D8C41056-C926-43F5-B200-BF554B577C99}"/>
  <tableColumns count="3">
    <tableColumn id="1" xr3:uid="{72272C5F-5EFD-452F-B863-D45753FDF59F}" name="שעות עבודה" dataDxfId="375"/>
    <tableColumn id="2" xr3:uid="{14A8B8A3-9FCB-4549-AB64-76F4B8F39CBF}" name="עלות לשעת עבודה" dataDxfId="374"/>
    <tableColumn id="3" xr3:uid="{4222FEDC-C89A-49BF-850B-020CD30F9F90}" name="עלות עבודה" dataDxfId="373">
      <calculatedColumnFormula>Work115962656871747780[[#This Row],[עלות לשעת עבודה]]*Work115962656871747780[[#This Row],[שעות עבודה]]</calculatedColumnFormula>
    </tableColumn>
  </tableColumns>
  <tableStyleInfo name="TableStyleMedium14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BACAA374-CF32-4387-934F-ACA602E0AEEF}" name="SinglePack126063666972757881" displayName="SinglePack126063666972757881" ref="O2:Q3" totalsRowShown="0" headerRowDxfId="372" dataDxfId="371">
  <autoFilter ref="O2:Q3" xr:uid="{3D8D31A1-E39A-4205-8A52-296A8CA9E240}"/>
  <tableColumns count="3">
    <tableColumn id="1" xr3:uid="{5B115C17-D99D-4D9A-907F-2FD8E4718F74}" name="מוצר" dataDxfId="370"/>
    <tableColumn id="2" xr3:uid="{5F01599C-6138-4D66-B90B-127D27307198}" name="כמות" dataDxfId="369"/>
    <tableColumn id="3" xr3:uid="{6C95C4F1-72E4-48A7-92AF-B9775C5B9AE4}" name="עלות" dataDxfId="368">
      <calculatedColumnFormula>ROUNDUP(VLOOKUP(SinglePack126063666972757881[[#This Row],[מוצר]],אריזות!A:C,2,0)/VLOOKUP(SinglePack126063666972757881[[#This Row],[מוצר]],אריזות!A:C,3,0)*SinglePack126063666972757881[[#This Row],[כמות]],2)</calculatedColumnFormula>
    </tableColumn>
  </tableColumns>
  <tableStyleInfo name="TableStyleMedium13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82092FF1-4825-4591-AFBD-6801C6674830}" name="Recipe1058616467707376" displayName="Recipe1058616467707376" ref="A2:D12" totalsRowShown="0" headerRowDxfId="367" dataDxfId="366">
  <autoFilter ref="A2:D12" xr:uid="{CB6E45FA-E11E-4A9C-88C7-88A6D81BC9D2}"/>
  <tableColumns count="4">
    <tableColumn id="1" xr3:uid="{202D3C15-99A0-493A-AC96-50DED8D95B27}" name="חומר גלם" dataDxfId="365"/>
    <tableColumn id="2" xr3:uid="{9B8ABC55-2629-4A54-B30D-1E24F3839421}" name="כמות במתכון" dataDxfId="364"/>
    <tableColumn id="3" xr3:uid="{045E81ED-3D24-414D-A4C7-0916389F2784}" name="יחידת מידה" dataDxfId="363">
      <calculatedColumnFormula>VLOOKUP(Recipe1058616467707376[[#This Row],[חומר גלם]],'חומרי גלם'!A:D,4,0)</calculatedColumnFormula>
    </tableColumn>
    <tableColumn id="4" xr3:uid="{87E8DC17-069C-4B49-B5A0-A3AC02FDE151}" name="עלות למתכון" dataDxfId="362">
      <calculatedColumnFormula>ROUNDUP(Recipe1058616467707376[[#This Row],[כמות במתכון]]*VLOOKUP(Recipe1058616467707376[[#This Row],[חומר גלם]],'חומרי גלם'!A:D,2,0)/VLOOKUP(Recipe1058616467707376[[#This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675A0F4D-09D6-4A3E-B59B-7CFD30C19776}" name="Work1159626568717477" displayName="Work1159626568717477" ref="F2:H3" totalsRowShown="0" headerRowDxfId="361" dataDxfId="360">
  <autoFilter ref="F2:H3" xr:uid="{D8C41056-C926-43F5-B200-BF554B577C99}"/>
  <tableColumns count="3">
    <tableColumn id="1" xr3:uid="{D7355850-F262-42D5-A631-C3C47204D055}" name="שעות עבודה" dataDxfId="359"/>
    <tableColumn id="2" xr3:uid="{D9150207-E722-4B71-99AE-538FA21BAC57}" name="עלות לשעת עבודה" dataDxfId="358"/>
    <tableColumn id="3" xr3:uid="{4BA985A5-A9A7-42DD-BADA-72B4AF5FA05A}" name="עלות עבודה" dataDxfId="357">
      <calculatedColumnFormula>Work1159626568717477[[#This Row],[עלות לשעת עבודה]]*Work1159626568717477[[#This Row],[שעות עבודה]]</calculatedColumnFormula>
    </tableColumn>
  </tableColumns>
  <tableStyleInfo name="TableStyleMedium14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BB230FB4-DF09-485E-A157-00C1FB0B4932}" name="SinglePack1260636669727578" displayName="SinglePack1260636669727578" ref="O2:Q3" totalsRowShown="0" headerRowDxfId="356" dataDxfId="355">
  <autoFilter ref="O2:Q3" xr:uid="{3D8D31A1-E39A-4205-8A52-296A8CA9E240}"/>
  <tableColumns count="3">
    <tableColumn id="1" xr3:uid="{302F5AF0-F90A-4162-A3CD-C734BCD9F8B6}" name="מוצר" dataDxfId="354"/>
    <tableColumn id="2" xr3:uid="{50452C30-55A0-44FD-87F8-62CD61CA19CC}" name="כמות" dataDxfId="353"/>
    <tableColumn id="3" xr3:uid="{D7115DF7-1C03-4F4F-AACF-71C940F8E691}" name="עלות" dataDxfId="352">
      <calculatedColumnFormula>ROUNDUP(VLOOKUP(SinglePack1260636669727578[[#This Row],[מוצר]],אריזות!A:C,2,0)/VLOOKUP(SinglePack1260636669727578[[#This Row],[מוצר]],אריזות!A:C,3,0)*SinglePack1260636669727578[[#This Row],[כמות]],2)</calculatedColumnFormula>
    </tableColumn>
  </tableColumns>
  <tableStyleInfo name="TableStyleMedium13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1BE78A71-AAB9-4F5A-BAAA-05AC4192D6E9}" name="Recipe10586164677073" displayName="Recipe10586164677073" ref="A2:D7" totalsRowShown="0" headerRowDxfId="351" dataDxfId="350">
  <autoFilter ref="A2:D7" xr:uid="{CB6E45FA-E11E-4A9C-88C7-88A6D81BC9D2}"/>
  <tableColumns count="4">
    <tableColumn id="1" xr3:uid="{07440BFD-C4C0-4DF3-BC59-E6D0C6FCDB28}" name="חומר גלם" dataDxfId="349"/>
    <tableColumn id="2" xr3:uid="{E07821A0-2654-4A53-BCF5-3AE758C818A5}" name="כמות במתכון" dataDxfId="348"/>
    <tableColumn id="3" xr3:uid="{F737504D-B206-4A38-996D-59CF26CA2099}" name="יחידת מידה" dataDxfId="347">
      <calculatedColumnFormula>VLOOKUP(Recipe10586164677073[[#This Row],[חומר גלם]],'חומרי גלם'!A:D,4,0)</calculatedColumnFormula>
    </tableColumn>
    <tableColumn id="4" xr3:uid="{E47BD38F-2613-4337-85BB-7910CA49B9F0}" name="עלות למתכון" dataDxfId="346">
      <calculatedColumnFormula>ROUNDUP(Recipe10586164677073[[#This Row],[כמות במתכון]]*VLOOKUP(Recipe10586164677073[[#This Row],[חומר גלם]],'חומרי גלם'!A:D,2,0)/VLOOKUP(Recipe10586164677073[[#This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351DEAE3-3D31-41DA-A108-CF425423447F}" name="Work11596265687174" displayName="Work11596265687174" ref="F2:H3" totalsRowShown="0" headerRowDxfId="345" dataDxfId="344">
  <autoFilter ref="F2:H3" xr:uid="{D8C41056-C926-43F5-B200-BF554B577C99}"/>
  <tableColumns count="3">
    <tableColumn id="1" xr3:uid="{E39C58BA-17E2-424D-A8A1-124E4935138E}" name="שעות עבודה" dataDxfId="343"/>
    <tableColumn id="2" xr3:uid="{E7949295-1DDA-4007-B7D1-14A696748226}" name="עלות לשעת עבודה" dataDxfId="342"/>
    <tableColumn id="3" xr3:uid="{36AFBCE3-9B3F-47BF-8472-9BBE0707B11A}" name="עלות עבודה" dataDxfId="341">
      <calculatedColumnFormula>Work11596265687174[[#This Row],[עלות לשעת עבודה]]*Work11596265687174[[#This Row],[שעות עבודה]]</calculatedColumnFormula>
    </tableColumn>
  </tableColumns>
  <tableStyleInfo name="TableStyleMedium14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8BF1B705-27CA-4181-BBE3-CE5F710AB702}" name="SinglePack12606366697275" displayName="SinglePack12606366697275" ref="O2:Q3" totalsRowShown="0" headerRowDxfId="340" dataDxfId="339">
  <autoFilter ref="O2:Q3" xr:uid="{3D8D31A1-E39A-4205-8A52-296A8CA9E240}"/>
  <tableColumns count="3">
    <tableColumn id="1" xr3:uid="{593BC639-E9B9-4082-BD93-5D6DD4D6D636}" name="מוצר" dataDxfId="338"/>
    <tableColumn id="2" xr3:uid="{D3CF69CD-6A26-42F4-BFA0-5333DF156BC8}" name="כמות" dataDxfId="337"/>
    <tableColumn id="3" xr3:uid="{71427313-2AD0-4DED-955F-5978A99DA451}" name="עלות" dataDxfId="336">
      <calculatedColumnFormula>ROUNDUP(VLOOKUP(SinglePack12606366697275[[#This Row],[מוצר]],אריזות!A:C,2,0)/VLOOKUP(SinglePack12606366697275[[#This Row],[מוצר]],אריזות!A:C,3,0)*SinglePack12606366697275[[#This Row],[כמות]],2)</calculatedColumnFormula>
    </tableColumn>
  </tableColumns>
  <tableStyleInfo name="TableStyleMedium13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881D33FC-5446-43AD-85A6-FCA7C90A72AE}" name="Recipe105861646770" displayName="Recipe105861646770" ref="A2:D9" totalsRowShown="0" headerRowDxfId="335" dataDxfId="334">
  <autoFilter ref="A2:D9" xr:uid="{CB6E45FA-E11E-4A9C-88C7-88A6D81BC9D2}"/>
  <tableColumns count="4">
    <tableColumn id="1" xr3:uid="{5FCBA22F-5FF8-416A-B992-F278924C53B4}" name="חומר גלם" dataDxfId="333"/>
    <tableColumn id="2" xr3:uid="{81B560EB-2AE1-413D-8292-A46E0AD7322C}" name="כמות במתכון" dataDxfId="332"/>
    <tableColumn id="3" xr3:uid="{16C71344-00B0-4FC5-A04E-4F863A6FCA17}" name="יחידת מידה" dataDxfId="331">
      <calculatedColumnFormula>VLOOKUP(Recipe105861646770[[#This Row],[חומר גלם]],'חומרי גלם'!A:D,4,0)</calculatedColumnFormula>
    </tableColumn>
    <tableColumn id="4" xr3:uid="{7F5F6C1B-C6C5-494E-B434-8F8CD9F4764C}" name="עלות למתכון" dataDxfId="330">
      <calculatedColumnFormula>ROUNDUP(Recipe105861646770[[#This Row],[כמות במתכון]]*VLOOKUP(Recipe105861646770[[#This Row],[חומר גלם]],'חומרי גלם'!A:D,2,0)/VLOOKUP(Recipe105861646770[[#This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E275DB86-0E41-4743-A99C-0783BE981915}" name="Work115962656871" displayName="Work115962656871" ref="F2:H3" totalsRowShown="0" headerRowDxfId="329" dataDxfId="328">
  <autoFilter ref="F2:H3" xr:uid="{D8C41056-C926-43F5-B200-BF554B577C99}"/>
  <tableColumns count="3">
    <tableColumn id="1" xr3:uid="{4EED8AD1-410C-4F28-A819-2B539BFDF38B}" name="שעות עבודה" dataDxfId="327"/>
    <tableColumn id="2" xr3:uid="{23F4EC62-916E-40E9-90EA-CEE68B95CCA6}" name="עלות לשעת עבודה" dataDxfId="326"/>
    <tableColumn id="3" xr3:uid="{9D626103-140E-44AD-AFC9-084033F4AF2F}" name="עלות עבודה" dataDxfId="325">
      <calculatedColumnFormula>Work115962656871[[#This Row],[עלות לשעת עבודה]]*Work115962656871[[#This Row],[שעות עבודה]]</calculatedColumnFormula>
    </tableColumn>
  </tableColumns>
  <tableStyleInfo name="TableStyleMedium14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DEF9A049-4E5E-4848-B875-B1BF9763C043}" name="SinglePack126063666972" displayName="SinglePack126063666972" ref="O2:Q4" totalsRowShown="0" headerRowDxfId="324" dataDxfId="323">
  <autoFilter ref="O2:Q4" xr:uid="{3D8D31A1-E39A-4205-8A52-296A8CA9E240}"/>
  <tableColumns count="3">
    <tableColumn id="1" xr3:uid="{34D42A92-6335-468C-9252-E415D1E7F8EF}" name="מוצר" dataDxfId="322"/>
    <tableColumn id="2" xr3:uid="{62B02C8F-BAAE-46C0-BCEA-70894E978AB4}" name="כמות" dataDxfId="321"/>
    <tableColumn id="3" xr3:uid="{87C61EBD-45F5-46D7-A319-BDF57149C1BC}" name="עלות" dataDxfId="320">
      <calculatedColumnFormula>ROUNDUP(VLOOKUP(SinglePack126063666972[[#This Row],[מוצר]],אריזות!A:C,2,0)/VLOOKUP(SinglePack126063666972[[#This Row],[מוצר]],אריזות!A:C,3,0)*SinglePack126063666972[[#This Row],[כמות]],2)</calculatedColumnFormula>
    </tableColumn>
  </tableColumns>
  <tableStyleInfo name="TableStyleMedium13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7C5DC690-A998-4852-B0A6-45136C6099CA}" name="Recipe1058616467" displayName="Recipe1058616467" ref="A2:D7" totalsRowShown="0" headerRowDxfId="319" dataDxfId="318">
  <autoFilter ref="A2:D7" xr:uid="{CB6E45FA-E11E-4A9C-88C7-88A6D81BC9D2}"/>
  <tableColumns count="4">
    <tableColumn id="1" xr3:uid="{D410A623-9390-4ACF-87CD-F3861137D867}" name="חומר גלם" dataDxfId="317"/>
    <tableColumn id="2" xr3:uid="{472D3EA1-3B2D-440E-BAF9-74EB671E5581}" name="כמות במתכון" dataDxfId="316"/>
    <tableColumn id="3" xr3:uid="{B3B1BBB5-3A82-4ED5-93CF-F8683503C1DF}" name="יחידת מידה" dataDxfId="315">
      <calculatedColumnFormula>VLOOKUP(Recipe1058616467[[#This Row],[חומר גלם]],'חומרי גלם'!A:D,4,0)</calculatedColumnFormula>
    </tableColumn>
    <tableColumn id="4" xr3:uid="{E941DF30-CD51-4BBB-BF22-3B2B37D5B078}" name="עלות למתכון" dataDxfId="314">
      <calculatedColumnFormula>ROUNDUP(Recipe1058616467[[#This Row],[כמות במתכון]]*VLOOKUP(Recipe1058616467[[#This Row],[חומר גלם]],'חומרי גלם'!A:D,2,0)/VLOOKUP(Recipe1058616467[[#This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F1F1630F-87AD-4186-A108-9810BAC0D389}" name="Work1159626568" displayName="Work1159626568" ref="F2:H3" totalsRowShown="0" headerRowDxfId="313" dataDxfId="312">
  <autoFilter ref="F2:H3" xr:uid="{D8C41056-C926-43F5-B200-BF554B577C99}"/>
  <tableColumns count="3">
    <tableColumn id="1" xr3:uid="{813ED420-DD38-4400-979D-FFB4C2F3807F}" name="שעות עבודה" dataDxfId="311"/>
    <tableColumn id="2" xr3:uid="{423C4DC7-D619-4A01-8B0E-C00AA6977C05}" name="עלות לשעת עבודה" dataDxfId="310"/>
    <tableColumn id="3" xr3:uid="{05301C69-7187-4A2F-B97C-5E12872A9F2B}" name="עלות עבודה" dataDxfId="309">
      <calculatedColumnFormula>Work1159626568[[#This Row],[עלות לשעת עבודה]]*Work1159626568[[#This Row],[שעות עבודה]]</calculatedColumnFormula>
    </tableColumn>
  </tableColumns>
  <tableStyleInfo name="TableStyleMedium14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06C3B52D-AD7D-453D-AEE4-AA7F90DDC5D8}" name="SinglePack1260636669" displayName="SinglePack1260636669" ref="O2:Q4" totalsRowShown="0" headerRowDxfId="308" dataDxfId="307">
  <autoFilter ref="O2:Q4" xr:uid="{3D8D31A1-E39A-4205-8A52-296A8CA9E240}"/>
  <tableColumns count="3">
    <tableColumn id="1" xr3:uid="{8CCEA685-D30F-46A6-95E2-95B4D11B9F97}" name="מוצר" dataDxfId="306"/>
    <tableColumn id="2" xr3:uid="{5F72EA08-C4D3-4B5E-8115-09E3B4B78C59}" name="כמות" dataDxfId="305"/>
    <tableColumn id="3" xr3:uid="{5F76456D-9500-4669-99A6-716D9D099D4D}" name="עלות" dataDxfId="304">
      <calculatedColumnFormula>ROUNDUP(VLOOKUP(SinglePack1260636669[[#This Row],[מוצר]],אריזות!A:C,2,0)/VLOOKUP(SinglePack1260636669[[#This Row],[מוצר]],אריזות!A:C,3,0)*SinglePack1260636669[[#This Row],[כמות]],2)</calculatedColumnFormula>
    </tableColumn>
  </tableColumns>
  <tableStyleInfo name="TableStyleMedium13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B48DB7D7-A6F4-4B9E-8957-45B9E116BF3B}" name="Recipe10586164" displayName="Recipe10586164" ref="A2:D12" totalsRowShown="0" headerRowDxfId="303" dataDxfId="302">
  <autoFilter ref="A2:D12" xr:uid="{CB6E45FA-E11E-4A9C-88C7-88A6D81BC9D2}"/>
  <tableColumns count="4">
    <tableColumn id="1" xr3:uid="{6DA110BB-B3E8-4C10-932D-F180B4BC2EB6}" name="חומר גלם" dataDxfId="301"/>
    <tableColumn id="2" xr3:uid="{FDF9C5F7-A99B-481F-91AA-521F8F23FAA9}" name="כמות במתכון" dataDxfId="300"/>
    <tableColumn id="3" xr3:uid="{16A5B369-3FB6-4CFF-8AA1-C0FBDFC402B6}" name="יחידת מידה" dataDxfId="299">
      <calculatedColumnFormula>VLOOKUP(Recipe10586164[[#This Row],[חומר גלם]],'חומרי גלם'!A:D,4,0)</calculatedColumnFormula>
    </tableColumn>
    <tableColumn id="4" xr3:uid="{C6FD0859-BFBC-440B-B6F3-729988BADB90}" name="עלות למתכון" dataDxfId="298">
      <calculatedColumnFormula>ROUNDUP(Recipe10586164[[#This Row],[כמות במתכון]]*VLOOKUP(Recipe10586164[[#This Row],[חומר גלם]],'חומרי גלם'!A:D,2,0)/VLOOKUP(Recipe10586164[[#This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C45AF80C-1CDA-4044-A8D7-FC6A378C9028}" name="Work11596265" displayName="Work11596265" ref="F2:H3" totalsRowShown="0" headerRowDxfId="297" dataDxfId="296">
  <autoFilter ref="F2:H3" xr:uid="{D8C41056-C926-43F5-B200-BF554B577C99}"/>
  <tableColumns count="3">
    <tableColumn id="1" xr3:uid="{83BE40F7-3DFF-4E21-A8F1-71E95772C457}" name="שעות עבודה" dataDxfId="295"/>
    <tableColumn id="2" xr3:uid="{81D9FF02-1D29-4A46-997C-3FD417E34C5B}" name="עלות לשעת עבודה" dataDxfId="294"/>
    <tableColumn id="3" xr3:uid="{514E1B9A-EE79-401F-8B3A-D439FAC725CC}" name="עלות עבודה" dataDxfId="293">
      <calculatedColumnFormula>Work11596265[[#This Row],[עלות לשעת עבודה]]*Work11596265[[#This Row],[שעות עבודה]]</calculatedColumnFormula>
    </tableColumn>
  </tableColumns>
  <tableStyleInfo name="TableStyleMedium14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365AF323-A0C2-461D-AF90-4FA761AB32A1}" name="SinglePack12606366" displayName="SinglePack12606366" ref="O2:Q4" totalsRowShown="0" headerRowDxfId="292" dataDxfId="291">
  <autoFilter ref="O2:Q4" xr:uid="{3D8D31A1-E39A-4205-8A52-296A8CA9E240}"/>
  <tableColumns count="3">
    <tableColumn id="1" xr3:uid="{6B322B41-E5F9-4B54-9914-D7AD1B0362CD}" name="מוצר" dataDxfId="290"/>
    <tableColumn id="2" xr3:uid="{66366326-D679-4CB0-A9AF-19A8EECC756C}" name="כמות" dataDxfId="289"/>
    <tableColumn id="3" xr3:uid="{8C475A0D-9B69-48A9-BEBA-50CFB115B758}" name="עלות" dataDxfId="288">
      <calculatedColumnFormula>ROUNDUP(VLOOKUP(SinglePack12606366[[#This Row],[מוצר]],אריזות!A:C,2,0)/VLOOKUP(SinglePack12606366[[#This Row],[מוצר]],אריזות!A:C,3,0)*SinglePack12606366[[#This Row],[כמות]],2)</calculatedColumnFormula>
    </tableColumn>
  </tableColumns>
  <tableStyleInfo name="TableStyleMedium13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55689ADB-1A52-4992-8976-3FB51C546DF3}" name="Recipe105861" displayName="Recipe105861" ref="A2:D13" totalsRowShown="0" headerRowDxfId="287" dataDxfId="286">
  <autoFilter ref="A2:D13" xr:uid="{CB6E45FA-E11E-4A9C-88C7-88A6D81BC9D2}"/>
  <tableColumns count="4">
    <tableColumn id="1" xr3:uid="{0FAC7E19-964D-4D98-9D76-FE55BF88FB86}" name="חומר גלם" dataDxfId="285"/>
    <tableColumn id="2" xr3:uid="{B77EA989-B3AB-4877-99A5-BCC9117092A5}" name="כמות במתכון" dataDxfId="284"/>
    <tableColumn id="3" xr3:uid="{1CEDFE10-887A-4B13-950E-556389360AE5}" name="יחידת מידה" dataDxfId="283">
      <calculatedColumnFormula>VLOOKUP(Recipe105861[[#This Row],[חומר גלם]],'חומרי גלם'!A:D,4,0)</calculatedColumnFormula>
    </tableColumn>
    <tableColumn id="4" xr3:uid="{A2F978AB-E5A2-4ECE-9A15-C027A2197518}" name="עלות למתכון" dataDxfId="282">
      <calculatedColumnFormula>ROUNDUP(Recipe105861[[#This Row],[כמות במתכון]]*VLOOKUP(Recipe105861[[#This Row],[חומר גלם]],'חומרי גלם'!A:D,2,0)/VLOOKUP(Recipe105861[[#This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E40E8BF-2A7D-40C2-B712-5D6F34BDE3BA}" name="Work115962" displayName="Work115962" ref="F2:H3" totalsRowShown="0" headerRowDxfId="281" dataDxfId="280">
  <autoFilter ref="F2:H3" xr:uid="{D8C41056-C926-43F5-B200-BF554B577C99}"/>
  <tableColumns count="3">
    <tableColumn id="1" xr3:uid="{E9B2894B-D085-467E-A060-A194E03BEBB4}" name="שעות עבודה" dataDxfId="279"/>
    <tableColumn id="2" xr3:uid="{38C190AE-A16F-438A-B079-BE0D1BCCAFAC}" name="עלות לשעת עבודה" dataDxfId="278"/>
    <tableColumn id="3" xr3:uid="{0D898483-E9AE-497D-A55D-920C51627FCE}" name="עלות עבודה" dataDxfId="277">
      <calculatedColumnFormula>Work115962[[#This Row],[עלות לשעת עבודה]]*Work115962[[#This Row],[שעות עבודה]]</calculatedColumnFormula>
    </tableColumn>
  </tableColumns>
  <tableStyleInfo name="TableStyleMedium14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4BFDA8B6-5546-46AB-9848-06D91B5B0142}" name="SinglePack126063" displayName="SinglePack126063" ref="O2:Q4" totalsRowShown="0" headerRowDxfId="276" dataDxfId="275">
  <autoFilter ref="O2:Q4" xr:uid="{3D8D31A1-E39A-4205-8A52-296A8CA9E240}"/>
  <tableColumns count="3">
    <tableColumn id="1" xr3:uid="{369D07FB-372A-4400-A80C-3693242F2F6C}" name="מוצר" dataDxfId="274"/>
    <tableColumn id="2" xr3:uid="{C05A6F21-891A-485D-B15B-03C993CC206C}" name="כמות" dataDxfId="273"/>
    <tableColumn id="3" xr3:uid="{ABC80D40-5865-4F10-BE42-B4884572DFA9}" name="עלות" dataDxfId="272">
      <calculatedColumnFormula>ROUNDUP(VLOOKUP(SinglePack126063[[#This Row],[מוצר]],אריזות!A:C,2,0)/VLOOKUP(SinglePack126063[[#This Row],[מוצר]],אריזות!A:C,3,0)*SinglePack126063[[#This Row],[כמות]],2)</calculatedColumnFormula>
    </tableColumn>
  </tableColumns>
  <tableStyleInfo name="TableStyleMedium13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B504D68E-EEF8-40B2-9060-E3B3B06160DA}" name="Recipe1058" displayName="Recipe1058" ref="A2:D8" totalsRowShown="0" headerRowDxfId="271" dataDxfId="270">
  <autoFilter ref="A2:D8" xr:uid="{CB6E45FA-E11E-4A9C-88C7-88A6D81BC9D2}"/>
  <tableColumns count="4">
    <tableColumn id="1" xr3:uid="{D7182E6F-20B1-42ED-B477-E2DB5AC0864A}" name="חומר גלם" dataDxfId="269"/>
    <tableColumn id="2" xr3:uid="{E2C55599-D2F9-4653-89D0-4C2DACE6B5AD}" name="כמות במתכון" dataDxfId="268"/>
    <tableColumn id="3" xr3:uid="{02705B5F-6360-4C68-A9B5-023F29A5746D}" name="יחידת מידה" dataDxfId="267">
      <calculatedColumnFormula>VLOOKUP(Recipe1058[[#This Row],[חומר גלם]],'חומרי גלם'!A:D,4,0)</calculatedColumnFormula>
    </tableColumn>
    <tableColumn id="4" xr3:uid="{0356BC01-6030-464B-BA2B-9BA8A6DE2BAB}" name="עלות למתכון" dataDxfId="266">
      <calculatedColumnFormula>ROUNDUP(Recipe1058[[#This Row],[כמות במתכון]]*VLOOKUP(Recipe1058[[#This Row],[חומר גלם]],'חומרי גלם'!A:D,2,0)/VLOOKUP(Recipe1058[[#This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A17DA9E6-A9AE-4531-8E9E-50374B9FD26A}" name="Work1159" displayName="Work1159" ref="F2:H3" totalsRowShown="0" headerRowDxfId="265" dataDxfId="264">
  <autoFilter ref="F2:H3" xr:uid="{D8C41056-C926-43F5-B200-BF554B577C99}"/>
  <tableColumns count="3">
    <tableColumn id="1" xr3:uid="{31949FEA-F446-4DA7-BC14-7ED8AD2FC778}" name="שעות עבודה" dataDxfId="263"/>
    <tableColumn id="2" xr3:uid="{B45BDEF6-DFC2-465E-9A38-35D3E5199ECB}" name="עלות לשעת עבודה" dataDxfId="262"/>
    <tableColumn id="3" xr3:uid="{A157AEDD-A4B8-4A30-8295-5D7D45CE0018}" name="עלות עבודה" dataDxfId="261">
      <calculatedColumnFormula>Work1159[[#This Row],[עלות לשעת עבודה]]*Work1159[[#This Row],[שעות עבודה]]</calculatedColumnFormula>
    </tableColumn>
  </tableColumns>
  <tableStyleInfo name="TableStyleMedium14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BAEF0EF-18D6-449C-AAB3-C287A8ADF2FC}" name="SinglePack1260" displayName="SinglePack1260" ref="O2:Q4" totalsRowShown="0" headerRowDxfId="260" dataDxfId="259">
  <autoFilter ref="O2:Q4" xr:uid="{3D8D31A1-E39A-4205-8A52-296A8CA9E240}"/>
  <tableColumns count="3">
    <tableColumn id="1" xr3:uid="{35062A65-9ACA-4B8A-9529-DF7AE000C171}" name="מוצר" dataDxfId="258"/>
    <tableColumn id="2" xr3:uid="{A44FAA1B-AD6D-4DE7-BA1D-57E8B0BCD662}" name="כמות" dataDxfId="257"/>
    <tableColumn id="3" xr3:uid="{5E3925C6-2DD7-440D-986E-F0A33C380358}" name="עלות" dataDxfId="256">
      <calculatedColumnFormula>ROUNDUP(VLOOKUP(SinglePack1260[[#This Row],[מוצר]],אריזות!A:C,2,0)/VLOOKUP(SinglePack1260[[#This Row],[מוצר]],אריזות!A:C,3,0)*SinglePack1260[[#This Row],[כמות]],2)</calculatedColumnFormula>
    </tableColumn>
  </tableColumns>
  <tableStyleInfo name="TableStyleMedium13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760267F-8C5E-48D6-9B16-74AF9FA8F94C}" name="Recipe10" displayName="Recipe10" ref="A2:D14" totalsRowShown="0" headerRowDxfId="255" dataDxfId="254">
  <autoFilter ref="A2:D14" xr:uid="{CB6E45FA-E11E-4A9C-88C7-88A6D81BC9D2}"/>
  <tableColumns count="4">
    <tableColumn id="1" xr3:uid="{0DA41C9F-C3BE-49BB-A08B-9FD4F4C39495}" name="חומר גלם" dataDxfId="253"/>
    <tableColumn id="2" xr3:uid="{C71B007F-D335-46B1-80D0-BAE3D2FBFD8F}" name="כמות במתכון" dataDxfId="252"/>
    <tableColumn id="3" xr3:uid="{7F2C294D-C162-4FF5-B167-4FB6D5215FED}" name="יחידת מידה" dataDxfId="251">
      <calculatedColumnFormula>VLOOKUP(Recipe10[[#This Row],[חומר גלם]],'חומרי גלם'!A:D,4,0)</calculatedColumnFormula>
    </tableColumn>
    <tableColumn id="4" xr3:uid="{B2B8760D-2821-436F-A5B3-50D9ED21B516}" name="עלות למתכון" dataDxfId="250">
      <calculatedColumnFormula>ROUNDUP(Recipe10[[#This Row],[כמות במתכון]]*VLOOKUP(Recipe10[[#This Row],[חומר גלם]],'חומרי גלם'!A:D,2,0)/VLOOKUP(Recipe10[[#This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62C1998-E939-413E-B759-37E39D8F12C1}" name="Work11" displayName="Work11" ref="F2:H3" totalsRowShown="0" headerRowDxfId="249" dataDxfId="248">
  <autoFilter ref="F2:H3" xr:uid="{D8C41056-C926-43F5-B200-BF554B577C99}"/>
  <tableColumns count="3">
    <tableColumn id="1" xr3:uid="{CD726A14-8D71-4C09-8143-33405FC429F7}" name="שעות עבודה" dataDxfId="247"/>
    <tableColumn id="2" xr3:uid="{13EC5A00-A697-4FB5-9D21-E613DECB7237}" name="עלות לשעת עבודה" dataDxfId="246"/>
    <tableColumn id="3" xr3:uid="{9EDDF3FA-E018-49EF-94B1-586DF0CFF89C}" name="עלות עבודה" dataDxfId="245">
      <calculatedColumnFormula>Work11[[#This Row],[עלות לשעת עבודה]]*Work11[[#This Row],[שעות עבודה]]</calculatedColumnFormula>
    </tableColumn>
  </tableColumns>
  <tableStyleInfo name="TableStyleMedium14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3607CC7-E967-41EA-A0C5-174C1C372BDD}" name="SinglePack12" displayName="SinglePack12" ref="O2:Q4" totalsRowShown="0" headerRowDxfId="244" dataDxfId="243">
  <autoFilter ref="O2:Q4" xr:uid="{3D8D31A1-E39A-4205-8A52-296A8CA9E240}"/>
  <tableColumns count="3">
    <tableColumn id="1" xr3:uid="{DAB03543-1763-4567-8FF1-DCD9746E2B97}" name="מוצר" dataDxfId="242"/>
    <tableColumn id="2" xr3:uid="{665C099C-F370-4799-A8B1-23BA4437BFA0}" name="כמות" dataDxfId="241"/>
    <tableColumn id="3" xr3:uid="{23F6993A-E3BF-4375-B2BB-8BBBB9ABF97C}" name="עלות" dataDxfId="240">
      <calculatedColumnFormula>ROUNDUP(VLOOKUP(SinglePack12[[#This Row],[מוצר]],אריזות!A:C,2,0)/VLOOKUP(SinglePack12[[#This Row],[מוצר]],אריזות!A:C,3,0)*SinglePack12[[#This Row],[כמות]],2)</calculatedColumnFormula>
    </tableColumn>
  </tableColumns>
  <tableStyleInfo name="TableStyleMedium13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92C7F5B4-45AB-4F41-8BD6-1633D638948D}" name="Recipe13" displayName="Recipe13" ref="A2:D13" totalsRowShown="0" headerRowDxfId="239" dataDxfId="238">
  <autoFilter ref="A2:D13" xr:uid="{CB6E45FA-E11E-4A9C-88C7-88A6D81BC9D2}"/>
  <tableColumns count="4">
    <tableColumn id="1" xr3:uid="{CD09488C-5C5C-43AE-8727-EF1F93A9FBB3}" name="חומר גלם" dataDxfId="237"/>
    <tableColumn id="2" xr3:uid="{0DD681BA-ADDF-4D70-BDC9-4E16E6AA9C69}" name="כמות במתכון" dataDxfId="236"/>
    <tableColumn id="3" xr3:uid="{3197FDCD-FFC9-451D-8177-02657A512C45}" name="יחידת מידה" dataDxfId="235">
      <calculatedColumnFormula>VLOOKUP(Recipe13[[#This Row],[חומר גלם]],'חומרי גלם'!A:D,4,0)</calculatedColumnFormula>
    </tableColumn>
    <tableColumn id="4" xr3:uid="{F3010AD6-92BA-444C-8B5B-88A59B72242A}" name="עלות למתכון" dataDxfId="234">
      <calculatedColumnFormula>ROUNDUP(Recipe13[[#This Row],[כמות במתכון]]*VLOOKUP(Recipe13[[#This Row],[חומר גלם]],'חומרי גלם'!A:D,2,0)/VLOOKUP(Recipe13[[#This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B89E9151-263F-4566-AC8F-31E907884D70}" name="Work14" displayName="Work14" ref="F2:H3" totalsRowShown="0" headerRowDxfId="233" dataDxfId="232">
  <autoFilter ref="F2:H3" xr:uid="{D8C41056-C926-43F5-B200-BF554B577C99}"/>
  <tableColumns count="3">
    <tableColumn id="1" xr3:uid="{1F62D2D4-C79C-4FEA-8F53-6FBDE7E7C59F}" name="שעות עבודה" dataDxfId="231"/>
    <tableColumn id="2" xr3:uid="{8E54C7E9-FD04-4278-AE5E-AE3FB0099BCF}" name="עלות לשעת עבודה" dataDxfId="230"/>
    <tableColumn id="3" xr3:uid="{902F075E-5E64-476A-BCFB-5BFC66586678}" name="עלות עבודה" dataDxfId="229">
      <calculatedColumnFormula>Work14[[#This Row],[עלות לשעת עבודה]]*Work14[[#This Row],[שעות עבודה]]</calculatedColumnFormula>
    </tableColumn>
  </tableColumns>
  <tableStyleInfo name="TableStyleMedium14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9C438622-5415-478A-8075-80D04E8175E1}" name="SinglePack15" displayName="SinglePack15" ref="O2:Q4" totalsRowShown="0" headerRowDxfId="228" dataDxfId="227">
  <autoFilter ref="O2:Q4" xr:uid="{3D8D31A1-E39A-4205-8A52-296A8CA9E240}"/>
  <tableColumns count="3">
    <tableColumn id="1" xr3:uid="{458E3CFD-5AC1-4BB3-9040-3E9F4238AB75}" name="מוצר" dataDxfId="226"/>
    <tableColumn id="2" xr3:uid="{5CEB177C-1583-4B1A-9D7D-A595E9ADF33A}" name="כמות" dataDxfId="225"/>
    <tableColumn id="3" xr3:uid="{86CA84DE-E930-44C9-948D-2D7487C34E6D}" name="עלות" dataDxfId="224">
      <calculatedColumnFormula>ROUNDUP(VLOOKUP(SinglePack15[[#This Row],[מוצר]],אריזות!A:C,2,0)/VLOOKUP(SinglePack15[[#This Row],[מוצר]],אריזות!A:C,3,0)*SinglePack15[[#This Row],[כמות]],2)</calculatedColumnFormula>
    </tableColumn>
  </tableColumns>
  <tableStyleInfo name="TableStyleMedium13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EFD5FC9D-5D23-47B2-96CA-7E41A478F16E}" name="Recipe1016" displayName="Recipe1016" ref="A2:D12" totalsRowShown="0" headerRowDxfId="223" dataDxfId="222">
  <autoFilter ref="A2:D12" xr:uid="{CB6E45FA-E11E-4A9C-88C7-88A6D81BC9D2}"/>
  <tableColumns count="4">
    <tableColumn id="1" xr3:uid="{092E4F1C-942A-42E5-B75A-910756B487C0}" name="חומר גלם" dataDxfId="221"/>
    <tableColumn id="2" xr3:uid="{0E840DDB-010E-4797-AC2D-1723BA6AEE60}" name="כמות במתכון" dataDxfId="220"/>
    <tableColumn id="3" xr3:uid="{DB42BCD2-AC20-4BAE-825B-8C7E2E80E097}" name="יחידת מידה" dataDxfId="219">
      <calculatedColumnFormula>VLOOKUP(Recipe1016[[#This Row],[חומר גלם]],'חומרי גלם'!A:D,4,0)</calculatedColumnFormula>
    </tableColumn>
    <tableColumn id="4" xr3:uid="{15868613-9E5B-4636-9541-AE1DF78592B6}" name="עלות למתכון" dataDxfId="218">
      <calculatedColumnFormula>ROUNDUP(Recipe1016[[#This Row],[כמות במתכון]]*VLOOKUP(Recipe1016[[#This Row],[חומר גלם]],'חומרי גלם'!A:D,2,0)/VLOOKUP(Recipe1016[[#This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79BD64D1-9BF5-44D6-8297-C1D2D6515ACE}" name="Work1117" displayName="Work1117" ref="F2:H3" totalsRowShown="0" headerRowDxfId="217" dataDxfId="216">
  <autoFilter ref="F2:H3" xr:uid="{D8C41056-C926-43F5-B200-BF554B577C99}"/>
  <tableColumns count="3">
    <tableColumn id="1" xr3:uid="{FE90E2E6-7498-4C0C-8D45-5A77EA46B542}" name="שעות עבודה" dataDxfId="215"/>
    <tableColumn id="2" xr3:uid="{77B04D1D-6334-45B3-8422-4BFFA10A8C99}" name="עלות לשעת עבודה" dataDxfId="214"/>
    <tableColumn id="3" xr3:uid="{89DF7C8C-3830-4F80-8A40-0A208C355780}" name="עלות עבודה" dataDxfId="213">
      <calculatedColumnFormula>Work1117[[#This Row],[עלות לשעת עבודה]]*Work1117[[#This Row],[שעות עבודה]]</calculatedColumnFormula>
    </tableColumn>
  </tableColumns>
  <tableStyleInfo name="TableStyleMedium14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2240F4B0-967A-4930-B42A-3797D685E059}" name="SinglePack1218" displayName="SinglePack1218" ref="O2:Q4" totalsRowShown="0" headerRowDxfId="212" dataDxfId="211">
  <autoFilter ref="O2:Q4" xr:uid="{3D8D31A1-E39A-4205-8A52-296A8CA9E240}"/>
  <tableColumns count="3">
    <tableColumn id="1" xr3:uid="{5E57C678-2A7B-4E4E-86FA-B69A49C4320D}" name="מוצר" dataDxfId="210"/>
    <tableColumn id="2" xr3:uid="{1A9F0366-A9B7-4FBA-9703-2A7D4BA2008E}" name="כמות" dataDxfId="209"/>
    <tableColumn id="3" xr3:uid="{0BD84E8C-CD5E-48BC-96A5-8A6FEAE6F028}" name="עלות" dataDxfId="208">
      <calculatedColumnFormula>ROUNDUP(VLOOKUP(SinglePack1218[[#This Row],[מוצר]],אריזות!A:C,2,0)/VLOOKUP(SinglePack1218[[#This Row],[מוצר]],אריזות!A:C,3,0)*SinglePack1218[[#This Row],[כמות]],2)</calculatedColumnFormula>
    </tableColumn>
  </tableColumns>
  <tableStyleInfo name="TableStyleMedium13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5DD8B912-8BBB-4AD9-BE60-AE3A36506418}" name="Recipe101619" displayName="Recipe101619" ref="A2:D15" totalsRowShown="0" headerRowDxfId="207" dataDxfId="206">
  <autoFilter ref="A2:D15" xr:uid="{CB6E45FA-E11E-4A9C-88C7-88A6D81BC9D2}"/>
  <tableColumns count="4">
    <tableColumn id="1" xr3:uid="{73A60754-5729-485A-A552-28468219CA67}" name="חומר גלם" dataDxfId="205"/>
    <tableColumn id="2" xr3:uid="{442FB00B-F662-4B74-8C20-FF8F6D73F255}" name="כמות במתכון" dataDxfId="204"/>
    <tableColumn id="3" xr3:uid="{0231ABA6-94CB-4B20-9D3F-BAD9818143B6}" name="יחידת מידה" dataDxfId="203">
      <calculatedColumnFormula>VLOOKUP(Recipe101619[[#This Row],[חומר גלם]],'חומרי גלם'!A:D,4,0)</calculatedColumnFormula>
    </tableColumn>
    <tableColumn id="4" xr3:uid="{07AE4C7E-7FDD-415E-ABA9-D4D4FC362A6F}" name="עלות למתכון" dataDxfId="202">
      <calculatedColumnFormula>ROUNDUP(Recipe101619[[#This Row],[כמות במתכון]]*VLOOKUP(Recipe101619[[#This Row],[חומר גלם]],'חומרי גלם'!A:D,2,0)/VLOOKUP(Recipe101619[[#This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FFCDF07-55A0-40A3-8251-61D0F7E8803C}" name="Work111720" displayName="Work111720" ref="F2:H3" totalsRowShown="0" headerRowDxfId="201" dataDxfId="200">
  <autoFilter ref="F2:H3" xr:uid="{D8C41056-C926-43F5-B200-BF554B577C99}"/>
  <tableColumns count="3">
    <tableColumn id="1" xr3:uid="{3121C6AE-30E1-455E-9CD0-AA0F5FD0B381}" name="שעות עבודה" dataDxfId="199"/>
    <tableColumn id="2" xr3:uid="{4B848AA8-4992-4C33-A0AE-6F18F4E2E4FB}" name="עלות לשעת עבודה" dataDxfId="198"/>
    <tableColumn id="3" xr3:uid="{5E345AA0-AD69-4E89-BDA7-0B14175B3306}" name="עלות עבודה" dataDxfId="197">
      <calculatedColumnFormula>Work111720[[#This Row],[עלות לשעת עבודה]]*Work111720[[#This Row],[שעות עבודה]]</calculatedColumnFormula>
    </tableColumn>
  </tableColumns>
  <tableStyleInfo name="TableStyleMedium14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EEB40BB1-D379-43ED-9868-9E7D59197588}" name="SinglePack121821" displayName="SinglePack121821" ref="O2:Q4" totalsRowShown="0" headerRowDxfId="196" dataDxfId="195">
  <autoFilter ref="O2:Q4" xr:uid="{3D8D31A1-E39A-4205-8A52-296A8CA9E240}"/>
  <tableColumns count="3">
    <tableColumn id="1" xr3:uid="{C586A9FB-ED34-4F16-9353-C074F02B5A8B}" name="מוצר" dataDxfId="194"/>
    <tableColumn id="2" xr3:uid="{5442494D-FB09-449D-9DA5-0AB9C05A1BA0}" name="כמות" dataDxfId="193"/>
    <tableColumn id="3" xr3:uid="{88382C9F-F479-4A2A-BCE8-5CF8019C8C01}" name="עלות" dataDxfId="192">
      <calculatedColumnFormula>ROUNDUP(VLOOKUP(SinglePack121821[[#This Row],[מוצר]],אריזות!A:C,2,0)/VLOOKUP(SinglePack121821[[#This Row],[מוצר]],אריזות!A:C,3,0)*SinglePack121821[[#This Row],[כמות]],2)</calculatedColumnFormula>
    </tableColumn>
  </tableColumns>
  <tableStyleInfo name="TableStyleMedium13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84B66714-2CAB-4FFD-9CE9-A5CB975B4D74}" name="Recipe10161922" displayName="Recipe10161922" ref="A2:D8" totalsRowShown="0" headerRowDxfId="191" dataDxfId="190">
  <autoFilter ref="A2:D8" xr:uid="{CB6E45FA-E11E-4A9C-88C7-88A6D81BC9D2}"/>
  <tableColumns count="4">
    <tableColumn id="1" xr3:uid="{8E16DA91-493C-4D7A-B8E9-759B632C9263}" name="חומר גלם" dataDxfId="189"/>
    <tableColumn id="2" xr3:uid="{306F9876-D1EA-45E8-9933-6B1DA79F6E5F}" name="כמות במתכון" dataDxfId="188"/>
    <tableColumn id="3" xr3:uid="{90A01C7D-9AD5-42CD-97E0-D9160158B839}" name="יחידת מידה" dataDxfId="187">
      <calculatedColumnFormula>VLOOKUP(Recipe10161922[[#This Row],[חומר גלם]],'חומרי גלם'!A:D,4,0)</calculatedColumnFormula>
    </tableColumn>
    <tableColumn id="4" xr3:uid="{2D52C18D-E581-4233-B8D1-A335D5AD1B3F}" name="עלות למתכון" dataDxfId="186">
      <calculatedColumnFormula>ROUNDUP(Recipe10161922[[#This Row],[כמות במתכון]]*VLOOKUP(Recipe10161922[[#This Row],[חומר גלם]],'חומרי גלם'!A:D,2,0)/VLOOKUP(Recipe10161922[[#This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CF5CA2AB-D533-4F22-BD30-295B5F735539}" name="Work11172023" displayName="Work11172023" ref="F2:H3" totalsRowShown="0" headerRowDxfId="185" dataDxfId="184">
  <autoFilter ref="F2:H3" xr:uid="{D8C41056-C926-43F5-B200-BF554B577C99}"/>
  <tableColumns count="3">
    <tableColumn id="1" xr3:uid="{03A9B916-27E8-44D9-8BD8-5C088C5CEBFD}" name="שעות עבודה" dataDxfId="183"/>
    <tableColumn id="2" xr3:uid="{ACA94565-61E2-44E5-9E17-E4BF946C4093}" name="עלות לשעת עבודה" dataDxfId="182"/>
    <tableColumn id="3" xr3:uid="{DDA37173-B220-4E70-80EB-9E2F8570E95C}" name="עלות עבודה" dataDxfId="181">
      <calculatedColumnFormula>Work11172023[[#This Row],[עלות לשעת עבודה]]*Work11172023[[#This Row],[שעות עבודה]]</calculatedColumnFormula>
    </tableColumn>
  </tableColumns>
  <tableStyleInfo name="TableStyleMedium14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FA1203EC-34D5-482F-AA01-AE916845C837}" name="SinglePack12182124" displayName="SinglePack12182124" ref="O2:Q4" totalsRowShown="0" headerRowDxfId="180" dataDxfId="179">
  <autoFilter ref="O2:Q4" xr:uid="{3D8D31A1-E39A-4205-8A52-296A8CA9E240}"/>
  <tableColumns count="3">
    <tableColumn id="1" xr3:uid="{8C60DC32-70EA-463E-B37C-E8AF4018574E}" name="מוצר" dataDxfId="178"/>
    <tableColumn id="2" xr3:uid="{0C35C5AB-1D1B-4791-8399-784DB0520A8F}" name="כמות" dataDxfId="177"/>
    <tableColumn id="3" xr3:uid="{0DAE5728-EB43-45B7-BDF7-E1A13DE43AEA}" name="עלות" dataDxfId="176">
      <calculatedColumnFormula>ROUNDUP(VLOOKUP(SinglePack12182124[[#This Row],[מוצר]],אריזות!A:C,2,0)/VLOOKUP(SinglePack12182124[[#This Row],[מוצר]],אריזות!A:C,3,0)*SinglePack12182124[[#This Row],[כמות]],2)</calculatedColumnFormula>
    </tableColumn>
  </tableColumns>
  <tableStyleInfo name="TableStyleMedium13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33057E08-9275-4FC7-B3B9-537502514FE7}" name="Work111726" displayName="Work111726" ref="F2:H3" totalsRowShown="0" headerRowDxfId="175" dataDxfId="174">
  <autoFilter ref="F2:H3" xr:uid="{D8C41056-C926-43F5-B200-BF554B577C99}"/>
  <tableColumns count="3">
    <tableColumn id="1" xr3:uid="{62353206-E61A-4C36-9D47-91EE290070B1}" name="שעות עבודה" dataDxfId="173"/>
    <tableColumn id="2" xr3:uid="{B60BBD78-7F74-40EB-8305-1ECCCEDD646B}" name="עלות לשעת עבודה" dataDxfId="172"/>
    <tableColumn id="3" xr3:uid="{DCCF58DE-3682-46C1-A83E-1AF416BC5DC8}" name="עלות עבודה" dataDxfId="171">
      <calculatedColumnFormula>Work111726[[#This Row],[עלות לשעת עבודה]]*Work111726[[#This Row],[שעות עבודה]]</calculatedColumnFormula>
    </tableColumn>
  </tableColumns>
  <tableStyleInfo name="TableStyleMedium14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4C889E20-4C24-4660-A6F8-0DA1BC3B67E4}" name="SinglePack121827" displayName="SinglePack121827" ref="O2:Q4" totalsRowShown="0" headerRowDxfId="170" dataDxfId="169">
  <autoFilter ref="O2:Q4" xr:uid="{3D8D31A1-E39A-4205-8A52-296A8CA9E240}"/>
  <tableColumns count="3">
    <tableColumn id="1" xr3:uid="{6C8D87FB-70AE-4073-A44B-A8223131188D}" name="מוצר" dataDxfId="168"/>
    <tableColumn id="2" xr3:uid="{807BD2BC-89FB-427B-89A3-654F0A60E113}" name="כמות" dataDxfId="167"/>
    <tableColumn id="3" xr3:uid="{5EF9BEAC-CCE3-49C1-A134-C22025183BF7}" name="עלות" dataDxfId="166">
      <calculatedColumnFormula>ROUNDUP(VLOOKUP(SinglePack121827[[#This Row],[מוצר]],אריזות!A:C,2,0)/VLOOKUP(SinglePack121827[[#This Row],[מוצר]],אריזות!A:C,3,0)*SinglePack121827[[#This Row],[כמות]],2)</calculatedColumnFormula>
    </tableColumn>
  </tableColumns>
  <tableStyleInfo name="TableStyleMedium13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A3FA8B26-B871-4CA0-8527-6FB356EE40D4}" name="Recipe101625" displayName="Recipe101625" ref="A2:D10" totalsRowShown="0" headerRowDxfId="165" dataDxfId="164">
  <autoFilter ref="A2:D10" xr:uid="{CB6E45FA-E11E-4A9C-88C7-88A6D81BC9D2}"/>
  <tableColumns count="4">
    <tableColumn id="1" xr3:uid="{1F0625E8-1B1D-4806-8741-C3253AC03770}" name="חומר גלם" dataDxfId="163"/>
    <tableColumn id="2" xr3:uid="{7EA9F060-48B7-4AB9-BBF3-5D5B49693BC4}" name="כמות במתכון" dataDxfId="162"/>
    <tableColumn id="3" xr3:uid="{8AE3E278-A84D-4340-8A32-F6CE39C7B2EB}" name="יחידת מידה" dataDxfId="161">
      <calculatedColumnFormula>VLOOKUP(Recipe101625[[#This Row],[חומר גלם]],'חומרי גלם'!A:D,4,0)</calculatedColumnFormula>
    </tableColumn>
    <tableColumn id="4" xr3:uid="{81FB7BEB-BF42-417A-A077-F63DB94450D6}" name="עלות למתכון" dataDxfId="160">
      <calculatedColumnFormula>ROUNDUP(Recipe101625[[#This Row],[כמות במתכון]]*VLOOKUP(Recipe101625[[#This Row],[חומר גלם]],'חומרי גלם'!A:D,2,0)/VLOOKUP(Recipe101625[[#This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63A14B68-CE80-4CE1-A651-84B9FE7702DD}" name="Work11172628" displayName="Work11172628" ref="F2:H3" totalsRowShown="0" headerRowDxfId="159" dataDxfId="158">
  <autoFilter ref="F2:H3" xr:uid="{D8C41056-C926-43F5-B200-BF554B577C99}"/>
  <tableColumns count="3">
    <tableColumn id="1" xr3:uid="{47872449-0215-427B-96FB-1BB0406E4B76}" name="שעות עבודה" dataDxfId="157"/>
    <tableColumn id="2" xr3:uid="{ABD7104C-3AA3-4E96-88C7-4B03BD56F715}" name="עלות לשעת עבודה" dataDxfId="156"/>
    <tableColumn id="3" xr3:uid="{2B5A2E45-1754-4802-95D0-1EB1388CBD5C}" name="עלות עבודה" dataDxfId="155">
      <calculatedColumnFormula>Work11172628[[#This Row],[עלות לשעת עבודה]]*Work11172628[[#This Row],[שעות עבודה]]</calculatedColumnFormula>
    </tableColumn>
  </tableColumns>
  <tableStyleInfo name="TableStyleMedium14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4D74074D-7D8C-46C2-9329-EF307F41BD6D}" name="SinglePack12182729" displayName="SinglePack12182729" ref="O2:Q3" totalsRowShown="0" headerRowDxfId="154" dataDxfId="153">
  <autoFilter ref="O2:Q3" xr:uid="{3D8D31A1-E39A-4205-8A52-296A8CA9E240}"/>
  <tableColumns count="3">
    <tableColumn id="1" xr3:uid="{CBD850EB-74CC-4D3A-8064-B9C83923D203}" name="מוצר" dataDxfId="152"/>
    <tableColumn id="2" xr3:uid="{44098566-3F3B-4291-BD4B-8A570B82D086}" name="כמות" dataDxfId="151"/>
    <tableColumn id="3" xr3:uid="{4E7F3063-0BFA-457C-B1E8-30A25E31005E}" name="עלות" dataDxfId="150">
      <calculatedColumnFormula>ROUNDUP(VLOOKUP(SinglePack12182729[[#This Row],[מוצר]],אריזות!A:C,2,0)/VLOOKUP(SinglePack12182729[[#This Row],[מוצר]],אריזות!A:C,3,0)*SinglePack12182729[[#This Row],[כמות]],2)</calculatedColumnFormula>
    </tableColumn>
  </tableColumns>
  <tableStyleInfo name="TableStyleMedium13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7DAA03E2-3F5C-4842-A397-369024D4F030}" name="Recipe10162530" displayName="Recipe10162530" ref="A2:D10" totalsRowShown="0" headerRowDxfId="149" dataDxfId="148">
  <autoFilter ref="A2:D10" xr:uid="{CB6E45FA-E11E-4A9C-88C7-88A6D81BC9D2}"/>
  <tableColumns count="4">
    <tableColumn id="1" xr3:uid="{DEAE0ECF-DA4B-4FD3-9ECC-622F357A5A1C}" name="חומר גלם" dataDxfId="147"/>
    <tableColumn id="2" xr3:uid="{997A706E-D263-49C9-8116-8D1DF89AA4FB}" name="כמות במתכון" dataDxfId="146"/>
    <tableColumn id="3" xr3:uid="{0442C230-8EE1-43F4-AECF-D59EC59F11AC}" name="יחידת מידה" dataDxfId="145">
      <calculatedColumnFormula>VLOOKUP(Recipe10162530[[#This Row],[חומר גלם]],'חומרי גלם'!A:D,4,0)</calculatedColumnFormula>
    </tableColumn>
    <tableColumn id="4" xr3:uid="{D096E16F-122B-4D46-B814-814FFB81D5FC}" name="עלות למתכון" dataDxfId="144">
      <calculatedColumnFormula>ROUNDUP(Recipe10162530[[#This Row],[כמות במתכון]]*VLOOKUP(Recipe10162530[[#This Row],[חומר גלם]],'חומרי גלם'!A:D,2,0)/VLOOKUP(Recipe10162530[[#This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8C7EDC7C-8244-4F5D-9FB2-92E353F8C6B4}" name="Work111726283134" displayName="Work111726283134" ref="F2:H3" totalsRowShown="0" headerRowDxfId="143" dataDxfId="142">
  <autoFilter ref="F2:H3" xr:uid="{D8C41056-C926-43F5-B200-BF554B577C99}"/>
  <tableColumns count="3">
    <tableColumn id="1" xr3:uid="{C1558262-417D-4468-B9EA-232B3AC37207}" name="שעות עבודה" dataDxfId="141"/>
    <tableColumn id="2" xr3:uid="{2BFE904F-D0C5-42AE-A457-86631E8AFAE3}" name="עלות לשעת עבודה" dataDxfId="140"/>
    <tableColumn id="3" xr3:uid="{75876DF1-C14C-47C3-AC0F-1E52880E5B36}" name="עלות עבודה" dataDxfId="139">
      <calculatedColumnFormula>Work111726283134[[#This Row],[עלות לשעת עבודה]]*Work111726283134[[#This Row],[שעות עבודה]]</calculatedColumnFormula>
    </tableColumn>
  </tableColumns>
  <tableStyleInfo name="TableStyleMedium14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6E8EFFB9-0591-4116-AFA6-5FBB989F19E3}" name="SinglePack121827293235" displayName="SinglePack121827293235" ref="O2:Q3" totalsRowShown="0" headerRowDxfId="138" dataDxfId="137">
  <autoFilter ref="O2:Q3" xr:uid="{3D8D31A1-E39A-4205-8A52-296A8CA9E240}"/>
  <tableColumns count="3">
    <tableColumn id="1" xr3:uid="{F03D237E-1A96-4B4A-A296-A7D8F4F25AA3}" name="מוצר" dataDxfId="136"/>
    <tableColumn id="2" xr3:uid="{C6ED2C2D-196D-45B2-A325-0DC147654647}" name="כמות" dataDxfId="135"/>
    <tableColumn id="3" xr3:uid="{0C057882-6C1F-481E-AD1F-7D5AB9344757}" name="עלות" dataDxfId="134">
      <calculatedColumnFormula>ROUNDUP(VLOOKUP(SinglePack121827293235[[#This Row],[מוצר]],אריזות!A:C,2,0)/VLOOKUP(SinglePack121827293235[[#This Row],[מוצר]],אריזות!A:C,3,0)*SinglePack121827293235[[#This Row],[כמות]],2)</calculatedColumnFormula>
    </tableColumn>
  </tableColumns>
  <tableStyleInfo name="TableStyleMedium13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E16E7F09-BF47-4656-828C-1484E6DE54A2}" name="Recipe101625303336" displayName="Recipe101625303336" ref="A2:D13" totalsRowShown="0" headerRowDxfId="133" dataDxfId="132">
  <autoFilter ref="A2:D13" xr:uid="{CB6E45FA-E11E-4A9C-88C7-88A6D81BC9D2}"/>
  <tableColumns count="4">
    <tableColumn id="1" xr3:uid="{6BF67199-00D2-469B-B9AC-F9542ED18E1E}" name="חומר גלם" dataDxfId="131"/>
    <tableColumn id="2" xr3:uid="{866DA71E-FB9C-4538-A435-A300297A16DC}" name="כמות במתכון" dataDxfId="130"/>
    <tableColumn id="3" xr3:uid="{8150534D-F3D5-4C4E-AC45-D71CD2EECAF4}" name="יחידת מידה" dataDxfId="129">
      <calculatedColumnFormula>VLOOKUP(Recipe101625303336[[#This Row],[חומר גלם]],'חומרי גלם'!A:D,4,0)</calculatedColumnFormula>
    </tableColumn>
    <tableColumn id="4" xr3:uid="{2A251248-93B2-4E01-BF51-B8A0437FB948}" name="עלות למתכון" dataDxfId="128">
      <calculatedColumnFormula>ROUNDUP(Recipe101625303336[[#This Row],[כמות במתכון]]*VLOOKUP(Recipe101625303336[[#This Row],[חומר גלם]],'חומרי גלם'!A:D,2,0)/VLOOKUP(Recipe101625303336[[#This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51540E2D-D113-4495-9977-EAC8B5F62AD6}" name="Work1117262831" displayName="Work1117262831" ref="F2:H3" totalsRowShown="0" headerRowDxfId="127" dataDxfId="126">
  <autoFilter ref="F2:H3" xr:uid="{D8C41056-C926-43F5-B200-BF554B577C99}"/>
  <tableColumns count="3">
    <tableColumn id="1" xr3:uid="{4B4BDE77-1C1C-435B-9DB5-15D9CCFA49CD}" name="שעות עבודה" dataDxfId="125"/>
    <tableColumn id="2" xr3:uid="{671FB4FB-DE23-44BA-ADC9-AA723A24009A}" name="עלות לשעת עבודה" dataDxfId="124"/>
    <tableColumn id="3" xr3:uid="{0E7C20D1-39FF-4F38-BEFA-139B83762715}" name="עלות עבודה" dataDxfId="123">
      <calculatedColumnFormula>Work1117262831[[#This Row],[עלות לשעת עבודה]]*Work1117262831[[#This Row],[שעות עבודה]]</calculatedColumnFormula>
    </tableColumn>
  </tableColumns>
  <tableStyleInfo name="TableStyleMedium14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899CE637-0F39-46E9-89AE-51F08BD41852}" name="SinglePack1218272932" displayName="SinglePack1218272932" ref="O2:Q3" totalsRowShown="0" headerRowDxfId="122" dataDxfId="121">
  <autoFilter ref="O2:Q3" xr:uid="{3D8D31A1-E39A-4205-8A52-296A8CA9E240}"/>
  <tableColumns count="3">
    <tableColumn id="1" xr3:uid="{B4FD1D30-0BE2-4FCC-AADB-B6E232C473BD}" name="מוצר" dataDxfId="120"/>
    <tableColumn id="2" xr3:uid="{E74F663E-B55B-4B54-9BCE-AA801F1CDA70}" name="כמות" dataDxfId="119"/>
    <tableColumn id="3" xr3:uid="{806AE05E-0451-4D4C-9122-D37099BB0692}" name="עלות" dataDxfId="118">
      <calculatedColumnFormula>ROUNDUP(VLOOKUP(SinglePack1218272932[[#This Row],[מוצר]],אריזות!A:C,2,0)/VLOOKUP(SinglePack1218272932[[#This Row],[מוצר]],אריזות!A:C,3,0)*SinglePack1218272932[[#This Row],[כמות]],2)</calculatedColumnFormula>
    </tableColumn>
  </tableColumns>
  <tableStyleInfo name="TableStyleMedium13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207FC4B4-9A75-4156-B613-24B467150070}" name="Recipe1016253033" displayName="Recipe1016253033" ref="A2:D10" totalsRowShown="0" headerRowDxfId="117" dataDxfId="116">
  <autoFilter ref="A2:D10" xr:uid="{CB6E45FA-E11E-4A9C-88C7-88A6D81BC9D2}"/>
  <tableColumns count="4">
    <tableColumn id="1" xr3:uid="{B28B48AB-80D7-4606-AF87-BAB297255012}" name="חומר גלם" dataDxfId="115"/>
    <tableColumn id="2" xr3:uid="{5099DF16-5C08-4F97-AFEC-EFB4BC304BEA}" name="כמות במתכון" dataDxfId="114"/>
    <tableColumn id="3" xr3:uid="{06714D67-672C-4A68-9557-8387148DE5F4}" name="יחידת מידה" dataDxfId="113">
      <calculatedColumnFormula>VLOOKUP(Recipe1016253033[[#This Row],[חומר גלם]],'חומרי גלם'!A:D,4,0)</calculatedColumnFormula>
    </tableColumn>
    <tableColumn id="4" xr3:uid="{8B1AB45D-16EF-4B79-A43D-EF1F2B6B7F7A}" name="עלות למתכון" dataDxfId="112">
      <calculatedColumnFormula>ROUNDUP(Recipe1016253033[[#This Row],[כמות במתכון]]*VLOOKUP(Recipe1016253033[[#This Row],[חומר גלם]],'חומרי גלם'!A:D,2,0)/VLOOKUP(Recipe1016253033[[#This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75E36635-CF8A-43D1-AD0E-560E6016BA5A}" name="Work11172628313437" displayName="Work11172628313437" ref="F2:H3" totalsRowShown="0" headerRowDxfId="111" dataDxfId="110">
  <autoFilter ref="F2:H3" xr:uid="{D8C41056-C926-43F5-B200-BF554B577C99}"/>
  <tableColumns count="3">
    <tableColumn id="1" xr3:uid="{4C5D28C9-81D1-4F9F-88DD-84091CE2E2CD}" name="שעות עבודה" dataDxfId="109"/>
    <tableColumn id="2" xr3:uid="{E12A1454-2C06-4374-A26D-A4CDC8472BD5}" name="עלות לשעת עבודה" dataDxfId="108"/>
    <tableColumn id="3" xr3:uid="{E76931AC-7C1E-47B2-9DA1-06430F8F0D68}" name="עלות עבודה" dataDxfId="107">
      <calculatedColumnFormula>Work11172628313437[[#This Row],[עלות לשעת עבודה]]*Work11172628313437[[#This Row],[שעות עבודה]]</calculatedColumnFormula>
    </tableColumn>
  </tableColumns>
  <tableStyleInfo name="TableStyleMedium14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BB3C4929-EB53-4EC6-BD4F-17299584275E}" name="SinglePack12182729323538" displayName="SinglePack12182729323538" ref="O2:Q3" totalsRowShown="0" headerRowDxfId="106" dataDxfId="105">
  <autoFilter ref="O2:Q3" xr:uid="{3D8D31A1-E39A-4205-8A52-296A8CA9E240}"/>
  <tableColumns count="3">
    <tableColumn id="1" xr3:uid="{01850C73-BB51-41C5-9E8C-E9EFA7D14C49}" name="מוצר" dataDxfId="104"/>
    <tableColumn id="2" xr3:uid="{D9E20DD1-0204-40A6-A28A-3E9136833F2E}" name="כמות" dataDxfId="103"/>
    <tableColumn id="3" xr3:uid="{16359054-51E6-4EB1-A0CE-E6D5D275E548}" name="עלות" dataDxfId="102">
      <calculatedColumnFormula>ROUNDUP(VLOOKUP(SinglePack12182729323538[[#This Row],[מוצר]],אריזות!A:C,2,0)/VLOOKUP(SinglePack12182729323538[[#This Row],[מוצר]],אריזות!A:C,3,0)*SinglePack12182729323538[[#This Row],[כמות]],2)</calculatedColumnFormula>
    </tableColumn>
  </tableColumns>
  <tableStyleInfo name="TableStyleMedium13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77F6D384-578D-4186-B434-9F883949855C}" name="Recipe10162530333639" displayName="Recipe10162530333639" ref="A2:D9" totalsRowShown="0" headerRowDxfId="101" dataDxfId="100">
  <autoFilter ref="A2:D9" xr:uid="{CB6E45FA-E11E-4A9C-88C7-88A6D81BC9D2}"/>
  <tableColumns count="4">
    <tableColumn id="1" xr3:uid="{7C52448C-3099-4EAC-B014-94A25712A104}" name="חומר גלם" dataDxfId="99"/>
    <tableColumn id="2" xr3:uid="{7E15A68D-FE52-4418-BB52-955A025552A3}" name="כמות במתכון" dataDxfId="98"/>
    <tableColumn id="3" xr3:uid="{133339AB-8431-4CAD-BB7B-9A62D66C69E5}" name="יחידת מידה" dataDxfId="97">
      <calculatedColumnFormula>VLOOKUP(Recipe10162530333639[[#This Row],[חומר גלם]],'חומרי גלם'!A:D,4,0)</calculatedColumnFormula>
    </tableColumn>
    <tableColumn id="4" xr3:uid="{29348E2A-A544-4E4D-815B-E55E668E3ED0}" name="עלות למתכון" dataDxfId="96">
      <calculatedColumnFormula>ROUNDUP(Recipe10162530333639[[#This Row],[כמות במתכון]]*VLOOKUP(Recipe10162530333639[[#This Row],[חומר גלם]],'חומרי גלם'!A:D,2,0)/VLOOKUP(Recipe10162530333639[[#This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F7FB5D4A-6311-45F5-BC4B-00460EC33EC0}" name="Work1117262831343740" displayName="Work1117262831343740" ref="F2:H3" totalsRowShown="0" headerRowDxfId="95" dataDxfId="94">
  <autoFilter ref="F2:H3" xr:uid="{D8C41056-C926-43F5-B200-BF554B577C99}"/>
  <tableColumns count="3">
    <tableColumn id="1" xr3:uid="{8AED0011-6FEB-407C-BA3C-E422AFFC40B8}" name="שעות עבודה" dataDxfId="93"/>
    <tableColumn id="2" xr3:uid="{58DF2857-5E94-458E-9252-BD2E45A46837}" name="עלות לשעת עבודה" dataDxfId="92"/>
    <tableColumn id="3" xr3:uid="{3BACC9F9-BA19-490F-A6E3-BD773501197C}" name="עלות עבודה" dataDxfId="91">
      <calculatedColumnFormula>Work1117262831343740[[#This Row],[עלות לשעת עבודה]]*Work1117262831343740[[#This Row],[שעות עבודה]]</calculatedColumnFormula>
    </tableColumn>
  </tableColumns>
  <tableStyleInfo name="TableStyleMedium14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BE359363-33CF-4EAA-B509-875192FC7765}" name="SinglePack1218272932353841" displayName="SinglePack1218272932353841" ref="O2:Q3" totalsRowShown="0" headerRowDxfId="90" dataDxfId="89">
  <autoFilter ref="O2:Q3" xr:uid="{3D8D31A1-E39A-4205-8A52-296A8CA9E240}"/>
  <tableColumns count="3">
    <tableColumn id="1" xr3:uid="{0B797615-9EF6-4C20-A363-F3B11FFDFDE6}" name="מוצר" dataDxfId="88"/>
    <tableColumn id="2" xr3:uid="{018D680D-121A-437D-AA90-7F51F6B344E7}" name="כמות" dataDxfId="87"/>
    <tableColumn id="3" xr3:uid="{2446B617-5904-48BD-9ED1-E634ECE29EC5}" name="עלות" dataDxfId="86">
      <calculatedColumnFormula>ROUNDUP(VLOOKUP(SinglePack1218272932353841[[#This Row],[מוצר]],אריזות!A:C,2,0)/VLOOKUP(SinglePack1218272932353841[[#This Row],[מוצר]],אריזות!A:C,3,0)*SinglePack1218272932353841[[#This Row],[כמות]],2)</calculatedColumnFormula>
    </tableColumn>
  </tableColumns>
  <tableStyleInfo name="TableStyleMedium13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D1738D90-3ED9-4615-A0ED-643BD2E1DDF1}" name="Recipe1016253033363942" displayName="Recipe1016253033363942" ref="A2:D11" totalsRowShown="0" headerRowDxfId="85" dataDxfId="84">
  <autoFilter ref="A2:D11" xr:uid="{CB6E45FA-E11E-4A9C-88C7-88A6D81BC9D2}"/>
  <tableColumns count="4">
    <tableColumn id="1" xr3:uid="{175D6243-3CE9-4265-9A24-31E461B1DAC7}" name="חומר גלם" dataDxfId="83"/>
    <tableColumn id="2" xr3:uid="{983D2B1D-0E79-4F39-9EC3-7467E9CF5EFD}" name="כמות במתכון" dataDxfId="82"/>
    <tableColumn id="3" xr3:uid="{8CB24764-F6FE-46DE-B42F-471112095489}" name="יחידת מידה" dataDxfId="81">
      <calculatedColumnFormula>VLOOKUP(Recipe1016253033363942[[#This Row],[חומר גלם]],'חומרי גלם'!A:D,4,0)</calculatedColumnFormula>
    </tableColumn>
    <tableColumn id="4" xr3:uid="{52D27C24-FE5B-40F4-A1F4-71FEF6B3DC08}" name="עלות למתכון" dataDxfId="80">
      <calculatedColumnFormula>ROUNDUP(Recipe1016253033363942[[#This Row],[כמות במתכון]]*VLOOKUP(Recipe1016253033363942[[#This Row],[חומר גלם]],'חומרי גלם'!A:D,2,0)/VLOOKUP(Recipe1016253033363942[[#This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34486FB4-E03B-4ED5-9B82-36C6BE0AA857}" name="Work111726283134374043" displayName="Work111726283134374043" ref="F2:H3" totalsRowShown="0" headerRowDxfId="79" dataDxfId="78">
  <autoFilter ref="F2:H3" xr:uid="{D8C41056-C926-43F5-B200-BF554B577C99}"/>
  <tableColumns count="3">
    <tableColumn id="1" xr3:uid="{E26A4484-5130-47CB-8C86-A0DDE4071D2D}" name="שעות עבודה" dataDxfId="77"/>
    <tableColumn id="2" xr3:uid="{389C3A69-52A0-41D3-BF49-012C5C8054EF}" name="עלות לשעת עבודה" dataDxfId="76"/>
    <tableColumn id="3" xr3:uid="{72F29A1F-D37C-49AE-9D5A-601907D53AF5}" name="עלות עבודה" dataDxfId="75">
      <calculatedColumnFormula>Work111726283134374043[[#This Row],[עלות לשעת עבודה]]*Work111726283134374043[[#This Row],[שעות עבודה]]</calculatedColumnFormula>
    </tableColumn>
  </tableColumns>
  <tableStyleInfo name="TableStyleMedium14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9C15D462-7504-4599-8D02-1BF3967A4A55}" name="SinglePack121827293235384144" displayName="SinglePack121827293235384144" ref="O2:Q3" totalsRowShown="0" headerRowDxfId="74" dataDxfId="73">
  <autoFilter ref="O2:Q3" xr:uid="{3D8D31A1-E39A-4205-8A52-296A8CA9E240}"/>
  <tableColumns count="3">
    <tableColumn id="1" xr3:uid="{A29338E7-959F-4DEB-B5E5-3D3DD51D0CCD}" name="מוצר" dataDxfId="72"/>
    <tableColumn id="2" xr3:uid="{FC86F831-76E0-4ED1-934B-69FE3A176C63}" name="כמות" dataDxfId="71"/>
    <tableColumn id="3" xr3:uid="{2709A57C-2EF9-4DD1-9E1E-A55D9F676219}" name="עלות" dataDxfId="70">
      <calculatedColumnFormula>ROUNDUP(VLOOKUP(SinglePack121827293235384144[[#This Row],[מוצר]],אריזות!A:C,2,0)/VLOOKUP(SinglePack121827293235384144[[#This Row],[מוצר]],אריזות!A:C,3,0)*SinglePack121827293235384144[[#This Row],[כמות]],2)</calculatedColumnFormula>
    </tableColumn>
  </tableColumns>
  <tableStyleInfo name="TableStyleMedium13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829703D5-2AC5-469A-98A2-2CE97B653012}" name="Recipe101625303336394245" displayName="Recipe101625303336394245" ref="A2:D11" totalsRowShown="0" headerRowDxfId="69" dataDxfId="68">
  <autoFilter ref="A2:D11" xr:uid="{CB6E45FA-E11E-4A9C-88C7-88A6D81BC9D2}"/>
  <tableColumns count="4">
    <tableColumn id="1" xr3:uid="{9C0BA6AB-2479-4C97-875E-320C692163D5}" name="חומר גלם" dataDxfId="67"/>
    <tableColumn id="2" xr3:uid="{FA91B71B-7A8A-4C7F-A222-1B0D660C4594}" name="כמות במתכון" dataDxfId="66"/>
    <tableColumn id="3" xr3:uid="{E8BC732D-201C-4CDA-BFE4-048DD3A27660}" name="יחידת מידה" dataDxfId="65">
      <calculatedColumnFormula>VLOOKUP(Recipe101625303336394245[[#This Row],[חומר גלם]],'חומרי גלם'!A:D,4,0)</calculatedColumnFormula>
    </tableColumn>
    <tableColumn id="4" xr3:uid="{84A62B15-6419-434B-9405-F438952BDE17}" name="עלות למתכון" dataDxfId="64">
      <calculatedColumnFormula>ROUNDUP(Recipe101625303336394245[[#This Row],[כמות במתכון]]*VLOOKUP(Recipe101625303336394245[[#This Row],[חומר גלם]],'חומרי גלם'!A:D,2,0)/VLOOKUP(Recipe101625303336394245[[#This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233D9B9-3732-4232-ABD6-777064B56F01}" name="Work11172628313437404346" displayName="Work11172628313437404346" ref="F2:H3" totalsRowShown="0" headerRowDxfId="63" dataDxfId="62">
  <autoFilter ref="F2:H3" xr:uid="{D8C41056-C926-43F5-B200-BF554B577C99}"/>
  <tableColumns count="3">
    <tableColumn id="1" xr3:uid="{6CCCDF50-3985-4722-A464-EA3CB4DDDA6B}" name="שעות עבודה" dataDxfId="61"/>
    <tableColumn id="2" xr3:uid="{18617A38-8FB8-401E-BD9B-CD25F18A1D74}" name="עלות לשעת עבודה" dataDxfId="60"/>
    <tableColumn id="3" xr3:uid="{5E0133FB-91B2-4F84-B8C5-ECE30C111BC1}" name="עלות עבודה" dataDxfId="59">
      <calculatedColumnFormula>Work11172628313437404346[[#This Row],[עלות לשעת עבודה]]*Work11172628313437404346[[#This Row],[שעות עבודה]]</calculatedColumnFormula>
    </tableColumn>
  </tableColumns>
  <tableStyleInfo name="TableStyleMedium14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06B647B3-AE56-4DFC-B359-3F7958393F03}" name="SinglePack12182729323538414447" displayName="SinglePack12182729323538414447" ref="O2:Q3" totalsRowShown="0" headerRowDxfId="58" dataDxfId="57">
  <autoFilter ref="O2:Q3" xr:uid="{3D8D31A1-E39A-4205-8A52-296A8CA9E240}"/>
  <tableColumns count="3">
    <tableColumn id="1" xr3:uid="{672F64A9-EFEB-4F5C-8DFC-3F281567D1B6}" name="מוצר" dataDxfId="56"/>
    <tableColumn id="2" xr3:uid="{AFE94F97-892E-4EE7-A515-878237551AB6}" name="כמות" dataDxfId="55"/>
    <tableColumn id="3" xr3:uid="{AB4ABAC7-9C7D-4D04-AA52-B0542824462D}" name="עלות" dataDxfId="54">
      <calculatedColumnFormula>ROUNDUP(VLOOKUP(SinglePack12182729323538414447[[#This Row],[מוצר]],אריזות!A:C,2,0)/VLOOKUP(SinglePack12182729323538414447[[#This Row],[מוצר]],אריזות!A:C,3,0)*SinglePack12182729323538414447[[#This Row],[כמות]],2)</calculatedColumnFormula>
    </tableColumn>
  </tableColumns>
  <tableStyleInfo name="TableStyleMedium13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BCAD42AA-7DF3-455E-8586-A764C0A6ED26}" name="Recipe10162530333639424548" displayName="Recipe10162530333639424548" ref="A2:D9" totalsRowShown="0" headerRowDxfId="53" dataDxfId="52">
  <autoFilter ref="A2:D9" xr:uid="{CB6E45FA-E11E-4A9C-88C7-88A6D81BC9D2}"/>
  <tableColumns count="4">
    <tableColumn id="1" xr3:uid="{F814AE42-9142-4910-87EB-75C1E3AF8339}" name="חומר גלם" dataDxfId="51"/>
    <tableColumn id="2" xr3:uid="{4FF6D7BA-B017-459F-A6DA-4078012BA4B3}" name="כמות במתכון" dataDxfId="50"/>
    <tableColumn id="3" xr3:uid="{E534E1BF-6FF2-498B-B095-39B876D1693C}" name="יחידת מידה" dataDxfId="49">
      <calculatedColumnFormula>VLOOKUP(Recipe10162530333639424548[[#This Row],[חומר גלם]],'חומרי גלם'!A:D,4,0)</calculatedColumnFormula>
    </tableColumn>
    <tableColumn id="4" xr3:uid="{911680E6-49E7-4044-B931-366FEFB7BEE3}" name="עלות למתכון" dataDxfId="48">
      <calculatedColumnFormula>ROUNDUP(Recipe10162530333639424548[[#This Row],[כמות במתכון]]*VLOOKUP(Recipe10162530333639424548[[#This Row],[חומר גלם]],'חומרי גלם'!A:D,2,0)/VLOOKUP(Recipe10162530333639424548[[#This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060E4449-1F51-4DC0-9CB2-3BFADF7999CF}" name="Recipe1016192249" displayName="Recipe1016192249" ref="A2:D13" totalsRowShown="0" headerRowDxfId="47" dataDxfId="46">
  <autoFilter ref="A2:D13" xr:uid="{CB6E45FA-E11E-4A9C-88C7-88A6D81BC9D2}"/>
  <tableColumns count="4">
    <tableColumn id="1" xr3:uid="{F72F772B-BC2A-4E63-89FB-2DD2E3E92D82}" name="חומר גלם" dataDxfId="45"/>
    <tableColumn id="2" xr3:uid="{21FB9BBA-B202-47E8-8311-16790C18C455}" name="כמות במתכון" dataDxfId="44"/>
    <tableColumn id="3" xr3:uid="{CA697F08-2BB9-4CA8-A62E-9B6A9D8769FD}" name="יחידת מידה" dataDxfId="43">
      <calculatedColumnFormula>VLOOKUP(Recipe1016192249[[#This Row],[חומר גלם]],'חומרי גלם'!A:D,4,0)</calculatedColumnFormula>
    </tableColumn>
    <tableColumn id="4" xr3:uid="{F9E26F8D-F500-48F5-81D6-94BB1E5A7EA5}" name="עלות למתכון" dataDxfId="42">
      <calculatedColumnFormula>ROUNDUP(Recipe1016192249[[#This Row],[כמות במתכון]]*VLOOKUP(Recipe1016192249[[#This Row],[חומר גלם]],'חומרי גלם'!A:D,2,0)/VLOOKUP(Recipe1016192249[[#This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A891DD3B-604A-406B-A2C1-D5E596E5B349}" name="Work1117202350" displayName="Work1117202350" ref="F2:H3" totalsRowShown="0" headerRowDxfId="41" dataDxfId="40">
  <autoFilter ref="F2:H3" xr:uid="{D8C41056-C926-43F5-B200-BF554B577C99}"/>
  <tableColumns count="3">
    <tableColumn id="1" xr3:uid="{9FA37843-2867-43C1-A1DD-E3CF0AC1AD9F}" name="שעות עבודה" dataDxfId="39"/>
    <tableColumn id="2" xr3:uid="{82091DB5-FC7A-4FF2-92C4-69F6F1282B9A}" name="עלות לשעת עבודה" dataDxfId="38"/>
    <tableColumn id="3" xr3:uid="{20ECC414-1C1C-4952-95FF-04BE91907937}" name="עלות עבודה" dataDxfId="37">
      <calculatedColumnFormula>Work1117202350[[#This Row],[עלות לשעת עבודה]]*Work1117202350[[#This Row],[שעות עבודה]]</calculatedColumnFormula>
    </tableColumn>
  </tableColumns>
  <tableStyleInfo name="TableStyleMedium14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EA8C7296-534D-4C8B-83DB-B708FBD62307}" name="SinglePack1218212451" displayName="SinglePack1218212451" ref="O2:Q4" totalsRowShown="0" headerRowDxfId="36" dataDxfId="35">
  <autoFilter ref="O2:Q4" xr:uid="{3D8D31A1-E39A-4205-8A52-296A8CA9E240}"/>
  <tableColumns count="3">
    <tableColumn id="1" xr3:uid="{A423851C-B214-4D61-81F9-3FAF79FAE11A}" name="מוצר" dataDxfId="34"/>
    <tableColumn id="2" xr3:uid="{75550B2F-7142-4BDB-800F-43C54406D9A9}" name="כמות" dataDxfId="33"/>
    <tableColumn id="3" xr3:uid="{F146A074-17EF-40D1-BF6D-E96BA75B746B}" name="עלות" dataDxfId="32">
      <calculatedColumnFormula>ROUNDUP(VLOOKUP(SinglePack1218212451[[#This Row],[מוצר]],אריזות!A:C,2,0)/VLOOKUP(SinglePack1218212451[[#This Row],[מוצר]],אריזות!A:C,3,0)*SinglePack1218212451[[#This Row],[כמות]],2)</calculatedColumnFormula>
    </tableColumn>
  </tableColumns>
  <tableStyleInfo name="TableStyleMedium13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CF8D4E6-2483-4A5A-8F25-2F0C3CC0FEAA}" name="Recipe101619224952" displayName="Recipe101619224952" ref="A2:D12" totalsRowShown="0" headerRowDxfId="31" dataDxfId="30">
  <autoFilter ref="A2:D12" xr:uid="{CB6E45FA-E11E-4A9C-88C7-88A6D81BC9D2}"/>
  <tableColumns count="4">
    <tableColumn id="1" xr3:uid="{9F45FC82-6603-4380-8A4E-F44F9C349F25}" name="חומר גלם" dataDxfId="29"/>
    <tableColumn id="2" xr3:uid="{01DBB70F-BC3F-46F1-9A53-A68BA66E1044}" name="כמות במתכון" dataDxfId="28"/>
    <tableColumn id="3" xr3:uid="{FBA2588E-40AA-450C-9C59-45EEDF4580CE}" name="יחידת מידה" dataDxfId="27">
      <calculatedColumnFormula>VLOOKUP(Recipe101619224952[[#This Row],[חומר גלם]],'חומרי גלם'!A:D,4,0)</calculatedColumnFormula>
    </tableColumn>
    <tableColumn id="4" xr3:uid="{470A9564-2AE7-41A7-B718-5F76CF817C17}" name="עלות למתכון" dataDxfId="26">
      <calculatedColumnFormula>ROUNDUP(Recipe101619224952[[#This Row],[כמות במתכון]]*VLOOKUP(Recipe101619224952[[#This Row],[חומר גלם]],'חומרי גלם'!A:D,2,0)/VLOOKUP(Recipe101619224952[[#This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A2AF0401-02BA-4A92-9356-8CD0122DCA02}" name="Work111720235053" displayName="Work111720235053" ref="F2:H3" totalsRowShown="0" headerRowDxfId="25" dataDxfId="24">
  <autoFilter ref="F2:H3" xr:uid="{D8C41056-C926-43F5-B200-BF554B577C99}"/>
  <tableColumns count="3">
    <tableColumn id="1" xr3:uid="{0266D33E-409D-4200-816B-227094F01A46}" name="שעות עבודה" dataDxfId="23"/>
    <tableColumn id="2" xr3:uid="{BB8D611E-96A4-46F9-BEA2-84C82AEE1FEB}" name="עלות לשעת עבודה" dataDxfId="22"/>
    <tableColumn id="3" xr3:uid="{A17CC5D3-D867-4638-8F57-50716EC50919}" name="עלות עבודה" dataDxfId="21">
      <calculatedColumnFormula>Work111720235053[[#This Row],[עלות לשעת עבודה]]*Work111720235053[[#This Row],[שעות עבודה]]</calculatedColumnFormula>
    </tableColumn>
  </tableColumns>
  <tableStyleInfo name="TableStyleMedium14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84B5CCC6-2885-4E51-B63D-9E43767936D4}" name="SinglePack121821245154" displayName="SinglePack121821245154" ref="O2:Q4" totalsRowShown="0" headerRowDxfId="20" dataDxfId="19">
  <autoFilter ref="O2:Q4" xr:uid="{3D8D31A1-E39A-4205-8A52-296A8CA9E240}"/>
  <tableColumns count="3">
    <tableColumn id="1" xr3:uid="{BDB2DBC3-F154-4112-9395-1D5644723D81}" name="מוצר" dataDxfId="18"/>
    <tableColumn id="2" xr3:uid="{A873F1F0-0886-443F-901F-723967110FC2}" name="כמות" dataDxfId="17"/>
    <tableColumn id="3" xr3:uid="{D8F5ECFA-E125-4D11-BC73-23BAC8D0D9B9}" name="עלות" dataDxfId="16">
      <calculatedColumnFormula>ROUNDUP(VLOOKUP(SinglePack121821245154[[#This Row],[מוצר]],אריזות!A:C,2,0)/VLOOKUP(SinglePack121821245154[[#This Row],[מוצר]],אריזות!A:C,3,0)*SinglePack121821245154[[#This Row],[כמות]],2)</calculatedColumnFormula>
    </tableColumn>
  </tableColumns>
  <tableStyleInfo name="TableStyleMedium13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4BE16987-4EE0-4A64-AB63-980F79C06114}" name="Recipe10161922495255" displayName="Recipe10161922495255" ref="A2:D9" totalsRowShown="0" headerRowDxfId="15" dataDxfId="14">
  <autoFilter ref="A2:D9" xr:uid="{CB6E45FA-E11E-4A9C-88C7-88A6D81BC9D2}"/>
  <tableColumns count="4">
    <tableColumn id="1" xr3:uid="{854B8FFF-D83E-4C0B-96EE-C64CD4F115C7}" name="חומר גלם" dataDxfId="13"/>
    <tableColumn id="2" xr3:uid="{C71E8D59-325F-46ED-BDF1-BD6E95B022FB}" name="כמות במתכון" dataDxfId="12"/>
    <tableColumn id="3" xr3:uid="{F3F71B41-DD3D-4BCC-A321-2EBD42845048}" name="יחידת מידה" dataDxfId="11">
      <calculatedColumnFormula>VLOOKUP(Recipe10161922495255[[#This Row],[חומר גלם]],'חומרי גלם'!A:D,4,0)</calculatedColumnFormula>
    </tableColumn>
    <tableColumn id="4" xr3:uid="{95F916A1-8409-4A5D-93F9-9600BE3A6CEF}" name="עלות למתכון" dataDxfId="10">
      <calculatedColumnFormula>ROUNDUP(Recipe10161922495255[[#This Row],[כמות במתכון]]*VLOOKUP(Recipe10161922495255[[#This Row],[חומר גלם]],'חומרי גלם'!A:D,2,0)/VLOOKUP(Recipe10161922495255[[#This Row],[חומר גלם]],'חומרי גלם'!A:D,3,0),2)</calculatedColumnFormula>
    </tableColumn>
  </tableColumns>
  <tableStyleInfo name="TableStyleMedium14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12651AD7-640C-496F-B225-BE6436424449}" name="Work11172023505356" displayName="Work11172023505356" ref="F2:H3" totalsRowShown="0" headerRowDxfId="9" dataDxfId="8">
  <autoFilter ref="F2:H3" xr:uid="{D8C41056-C926-43F5-B200-BF554B577C99}"/>
  <tableColumns count="3">
    <tableColumn id="1" xr3:uid="{B259283D-DEEA-4AA8-8582-2CE9CB8DFD2B}" name="שעות עבודה" dataDxfId="7"/>
    <tableColumn id="2" xr3:uid="{E72787EB-8490-482E-8F1B-F4B6999F04E9}" name="עלות לשעת עבודה" dataDxfId="6"/>
    <tableColumn id="3" xr3:uid="{C1221227-8B6B-432C-8654-73CAC6768DC8}" name="עלות עבודה" dataDxfId="5">
      <calculatedColumnFormula>Work11172023505356[[#This Row],[עלות לשעת עבודה]]*Work11172023505356[[#This Row],[שעות עבודה]]</calculatedColumnFormula>
    </tableColumn>
  </tableColumns>
  <tableStyleInfo name="TableStyleMedium14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0442011F-0526-44B6-B224-F0921D740C56}" name="SinglePack12182124515457" displayName="SinglePack12182124515457" ref="O2:Q4" totalsRowShown="0" headerRowDxfId="4" dataDxfId="3">
  <autoFilter ref="O2:Q4" xr:uid="{3D8D31A1-E39A-4205-8A52-296A8CA9E240}"/>
  <tableColumns count="3">
    <tableColumn id="1" xr3:uid="{2A607E9D-5AFA-4B4A-9B47-40370AB85703}" name="מוצר" dataDxfId="2"/>
    <tableColumn id="2" xr3:uid="{F4F17816-7879-4820-851C-A155B3A7E333}" name="כמות" dataDxfId="1"/>
    <tableColumn id="3" xr3:uid="{26EE13E5-8A47-45FC-9B26-0A3C0C3BD711}" name="עלות" dataDxfId="0">
      <calculatedColumnFormula>ROUNDUP(VLOOKUP(SinglePack12182124515457[[#This Row],[מוצר]],אריזות!A:C,2,0)/VLOOKUP(SinglePack12182124515457[[#This Row],[מוצר]],אריזות!A:C,3,0)*SinglePack12182124515457[[#This Row],[כמות]],2)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table" Target="../tables/table9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table" Target="../tables/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table" Target="../tables/table13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table" Target="../tables/table1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.xml"/><Relationship Id="rId1" Type="http://schemas.openxmlformats.org/officeDocument/2006/relationships/table" Target="../tables/table17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0.xml"/><Relationship Id="rId1" Type="http://schemas.openxmlformats.org/officeDocument/2006/relationships/table" Target="../tables/table19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2.xml"/><Relationship Id="rId1" Type="http://schemas.openxmlformats.org/officeDocument/2006/relationships/table" Target="../tables/table21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4.xml"/><Relationship Id="rId2" Type="http://schemas.openxmlformats.org/officeDocument/2006/relationships/table" Target="../tables/table23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2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7.xml"/><Relationship Id="rId2" Type="http://schemas.openxmlformats.org/officeDocument/2006/relationships/table" Target="../tables/table26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28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0.xml"/><Relationship Id="rId2" Type="http://schemas.openxmlformats.org/officeDocument/2006/relationships/table" Target="../tables/table29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31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3.xml"/><Relationship Id="rId2" Type="http://schemas.openxmlformats.org/officeDocument/2006/relationships/table" Target="../tables/table32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34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6.xml"/><Relationship Id="rId2" Type="http://schemas.openxmlformats.org/officeDocument/2006/relationships/table" Target="../tables/table35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3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9.xml"/><Relationship Id="rId2" Type="http://schemas.openxmlformats.org/officeDocument/2006/relationships/table" Target="../tables/table38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4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2.xml"/><Relationship Id="rId2" Type="http://schemas.openxmlformats.org/officeDocument/2006/relationships/table" Target="../tables/table41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43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5.xml"/><Relationship Id="rId2" Type="http://schemas.openxmlformats.org/officeDocument/2006/relationships/table" Target="../tables/table44.xml"/><Relationship Id="rId1" Type="http://schemas.openxmlformats.org/officeDocument/2006/relationships/printerSettings" Target="../printerSettings/printerSettings10.bin"/><Relationship Id="rId4" Type="http://schemas.openxmlformats.org/officeDocument/2006/relationships/table" Target="../tables/table46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8.xml"/><Relationship Id="rId2" Type="http://schemas.openxmlformats.org/officeDocument/2006/relationships/table" Target="../tables/table47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49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1.xml"/><Relationship Id="rId2" Type="http://schemas.openxmlformats.org/officeDocument/2006/relationships/table" Target="../tables/table50.xml"/><Relationship Id="rId1" Type="http://schemas.openxmlformats.org/officeDocument/2006/relationships/printerSettings" Target="../printerSettings/printerSettings12.bin"/><Relationship Id="rId4" Type="http://schemas.openxmlformats.org/officeDocument/2006/relationships/table" Target="../tables/table52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4.xml"/><Relationship Id="rId2" Type="http://schemas.openxmlformats.org/officeDocument/2006/relationships/table" Target="../tables/table53.xml"/><Relationship Id="rId1" Type="http://schemas.openxmlformats.org/officeDocument/2006/relationships/printerSettings" Target="../printerSettings/printerSettings13.bin"/><Relationship Id="rId4" Type="http://schemas.openxmlformats.org/officeDocument/2006/relationships/table" Target="../tables/table5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7.xml"/><Relationship Id="rId2" Type="http://schemas.openxmlformats.org/officeDocument/2006/relationships/table" Target="../tables/table56.xml"/><Relationship Id="rId1" Type="http://schemas.openxmlformats.org/officeDocument/2006/relationships/printerSettings" Target="../printerSettings/printerSettings14.bin"/><Relationship Id="rId4" Type="http://schemas.openxmlformats.org/officeDocument/2006/relationships/table" Target="../tables/table58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0.xml"/><Relationship Id="rId2" Type="http://schemas.openxmlformats.org/officeDocument/2006/relationships/table" Target="../tables/table59.xml"/><Relationship Id="rId1" Type="http://schemas.openxmlformats.org/officeDocument/2006/relationships/printerSettings" Target="../printerSettings/printerSettings15.bin"/><Relationship Id="rId4" Type="http://schemas.openxmlformats.org/officeDocument/2006/relationships/table" Target="../tables/table6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3.xml"/><Relationship Id="rId2" Type="http://schemas.openxmlformats.org/officeDocument/2006/relationships/table" Target="../tables/table62.xml"/><Relationship Id="rId1" Type="http://schemas.openxmlformats.org/officeDocument/2006/relationships/printerSettings" Target="../printerSettings/printerSettings16.bin"/><Relationship Id="rId4" Type="http://schemas.openxmlformats.org/officeDocument/2006/relationships/table" Target="../tables/table64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6.xml"/><Relationship Id="rId2" Type="http://schemas.openxmlformats.org/officeDocument/2006/relationships/table" Target="../tables/table65.xml"/><Relationship Id="rId1" Type="http://schemas.openxmlformats.org/officeDocument/2006/relationships/printerSettings" Target="../printerSettings/printerSettings17.bin"/><Relationship Id="rId4" Type="http://schemas.openxmlformats.org/officeDocument/2006/relationships/table" Target="../tables/table6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9.xml"/><Relationship Id="rId2" Type="http://schemas.openxmlformats.org/officeDocument/2006/relationships/table" Target="../tables/table68.xml"/><Relationship Id="rId1" Type="http://schemas.openxmlformats.org/officeDocument/2006/relationships/printerSettings" Target="../printerSettings/printerSettings18.bin"/><Relationship Id="rId4" Type="http://schemas.openxmlformats.org/officeDocument/2006/relationships/table" Target="../tables/table70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2.xml"/><Relationship Id="rId2" Type="http://schemas.openxmlformats.org/officeDocument/2006/relationships/table" Target="../tables/table71.xml"/><Relationship Id="rId1" Type="http://schemas.openxmlformats.org/officeDocument/2006/relationships/printerSettings" Target="../printerSettings/printerSettings19.bin"/><Relationship Id="rId4" Type="http://schemas.openxmlformats.org/officeDocument/2006/relationships/table" Target="../tables/table73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5.xml"/><Relationship Id="rId2" Type="http://schemas.openxmlformats.org/officeDocument/2006/relationships/table" Target="../tables/table74.xml"/><Relationship Id="rId1" Type="http://schemas.openxmlformats.org/officeDocument/2006/relationships/printerSettings" Target="../printerSettings/printerSettings20.bin"/><Relationship Id="rId4" Type="http://schemas.openxmlformats.org/officeDocument/2006/relationships/table" Target="../tables/table76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8.xml"/><Relationship Id="rId2" Type="http://schemas.openxmlformats.org/officeDocument/2006/relationships/table" Target="../tables/table77.xml"/><Relationship Id="rId1" Type="http://schemas.openxmlformats.org/officeDocument/2006/relationships/printerSettings" Target="../printerSettings/printerSettings21.bin"/><Relationship Id="rId4" Type="http://schemas.openxmlformats.org/officeDocument/2006/relationships/table" Target="../tables/table79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1.xml"/><Relationship Id="rId2" Type="http://schemas.openxmlformats.org/officeDocument/2006/relationships/table" Target="../tables/table80.xml"/><Relationship Id="rId1" Type="http://schemas.openxmlformats.org/officeDocument/2006/relationships/printerSettings" Target="../printerSettings/printerSettings22.bin"/><Relationship Id="rId4" Type="http://schemas.openxmlformats.org/officeDocument/2006/relationships/table" Target="../tables/table82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4.xml"/><Relationship Id="rId2" Type="http://schemas.openxmlformats.org/officeDocument/2006/relationships/table" Target="../tables/table83.xml"/><Relationship Id="rId1" Type="http://schemas.openxmlformats.org/officeDocument/2006/relationships/printerSettings" Target="../printerSettings/printerSettings23.bin"/><Relationship Id="rId4" Type="http://schemas.openxmlformats.org/officeDocument/2006/relationships/table" Target="../tables/table85.xml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7.xml"/><Relationship Id="rId2" Type="http://schemas.openxmlformats.org/officeDocument/2006/relationships/table" Target="../tables/table86.xml"/><Relationship Id="rId1" Type="http://schemas.openxmlformats.org/officeDocument/2006/relationships/printerSettings" Target="../printerSettings/printerSettings24.bin"/><Relationship Id="rId4" Type="http://schemas.openxmlformats.org/officeDocument/2006/relationships/table" Target="../tables/table88.xml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0.xml"/><Relationship Id="rId2" Type="http://schemas.openxmlformats.org/officeDocument/2006/relationships/table" Target="../tables/table89.xml"/><Relationship Id="rId1" Type="http://schemas.openxmlformats.org/officeDocument/2006/relationships/printerSettings" Target="../printerSettings/printerSettings25.bin"/><Relationship Id="rId4" Type="http://schemas.openxmlformats.org/officeDocument/2006/relationships/table" Target="../tables/table9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3.xml"/><Relationship Id="rId2" Type="http://schemas.openxmlformats.org/officeDocument/2006/relationships/table" Target="../tables/table92.xml"/><Relationship Id="rId1" Type="http://schemas.openxmlformats.org/officeDocument/2006/relationships/printerSettings" Target="../printerSettings/printerSettings26.bin"/><Relationship Id="rId4" Type="http://schemas.openxmlformats.org/officeDocument/2006/relationships/table" Target="../tables/table94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6.xml"/><Relationship Id="rId2" Type="http://schemas.openxmlformats.org/officeDocument/2006/relationships/table" Target="../tables/table95.xml"/><Relationship Id="rId1" Type="http://schemas.openxmlformats.org/officeDocument/2006/relationships/printerSettings" Target="../printerSettings/printerSettings27.bin"/><Relationship Id="rId4" Type="http://schemas.openxmlformats.org/officeDocument/2006/relationships/table" Target="../tables/table97.xml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9.xml"/><Relationship Id="rId2" Type="http://schemas.openxmlformats.org/officeDocument/2006/relationships/table" Target="../tables/table98.xml"/><Relationship Id="rId1" Type="http://schemas.openxmlformats.org/officeDocument/2006/relationships/printerSettings" Target="../printerSettings/printerSettings28.bin"/><Relationship Id="rId4" Type="http://schemas.openxmlformats.org/officeDocument/2006/relationships/table" Target="../tables/table100.xml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2.xml"/><Relationship Id="rId2" Type="http://schemas.openxmlformats.org/officeDocument/2006/relationships/table" Target="../tables/table101.xml"/><Relationship Id="rId1" Type="http://schemas.openxmlformats.org/officeDocument/2006/relationships/printerSettings" Target="../printerSettings/printerSettings29.bin"/><Relationship Id="rId4" Type="http://schemas.openxmlformats.org/officeDocument/2006/relationships/table" Target="../tables/table103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5.xml"/><Relationship Id="rId2" Type="http://schemas.openxmlformats.org/officeDocument/2006/relationships/table" Target="../tables/table104.xml"/><Relationship Id="rId1" Type="http://schemas.openxmlformats.org/officeDocument/2006/relationships/printerSettings" Target="../printerSettings/printerSettings30.bin"/><Relationship Id="rId4" Type="http://schemas.openxmlformats.org/officeDocument/2006/relationships/table" Target="../tables/table106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8.xml"/><Relationship Id="rId2" Type="http://schemas.openxmlformats.org/officeDocument/2006/relationships/table" Target="../tables/table107.xml"/><Relationship Id="rId1" Type="http://schemas.openxmlformats.org/officeDocument/2006/relationships/printerSettings" Target="../printerSettings/printerSettings31.bin"/><Relationship Id="rId4" Type="http://schemas.openxmlformats.org/officeDocument/2006/relationships/table" Target="../tables/table109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1.xml"/><Relationship Id="rId2" Type="http://schemas.openxmlformats.org/officeDocument/2006/relationships/table" Target="../tables/table110.xml"/><Relationship Id="rId1" Type="http://schemas.openxmlformats.org/officeDocument/2006/relationships/printerSettings" Target="../printerSettings/printerSettings32.bin"/><Relationship Id="rId4" Type="http://schemas.openxmlformats.org/officeDocument/2006/relationships/table" Target="../tables/table112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4.xml"/><Relationship Id="rId2" Type="http://schemas.openxmlformats.org/officeDocument/2006/relationships/table" Target="../tables/table113.xml"/><Relationship Id="rId1" Type="http://schemas.openxmlformats.org/officeDocument/2006/relationships/printerSettings" Target="../printerSettings/printerSettings33.bin"/><Relationship Id="rId4" Type="http://schemas.openxmlformats.org/officeDocument/2006/relationships/table" Target="../tables/table115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7.xml"/><Relationship Id="rId2" Type="http://schemas.openxmlformats.org/officeDocument/2006/relationships/table" Target="../tables/table116.xml"/><Relationship Id="rId1" Type="http://schemas.openxmlformats.org/officeDocument/2006/relationships/printerSettings" Target="../printerSettings/printerSettings34.bin"/><Relationship Id="rId4" Type="http://schemas.openxmlformats.org/officeDocument/2006/relationships/table" Target="../tables/table118.xml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0.xml"/><Relationship Id="rId2" Type="http://schemas.openxmlformats.org/officeDocument/2006/relationships/table" Target="../tables/table119.xml"/><Relationship Id="rId1" Type="http://schemas.openxmlformats.org/officeDocument/2006/relationships/printerSettings" Target="../printerSettings/printerSettings35.bin"/><Relationship Id="rId4" Type="http://schemas.openxmlformats.org/officeDocument/2006/relationships/table" Target="../tables/table121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3.xml"/><Relationship Id="rId2" Type="http://schemas.openxmlformats.org/officeDocument/2006/relationships/table" Target="../tables/table122.xml"/><Relationship Id="rId1" Type="http://schemas.openxmlformats.org/officeDocument/2006/relationships/printerSettings" Target="../printerSettings/printerSettings36.bin"/><Relationship Id="rId4" Type="http://schemas.openxmlformats.org/officeDocument/2006/relationships/table" Target="../tables/table124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6.xml"/><Relationship Id="rId2" Type="http://schemas.openxmlformats.org/officeDocument/2006/relationships/table" Target="../tables/table125.xml"/><Relationship Id="rId1" Type="http://schemas.openxmlformats.org/officeDocument/2006/relationships/printerSettings" Target="../printerSettings/printerSettings37.bin"/><Relationship Id="rId4" Type="http://schemas.openxmlformats.org/officeDocument/2006/relationships/table" Target="../tables/table127.xml"/></Relationships>
</file>

<file path=xl/worksheets/_rels/sheet4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9.xml"/><Relationship Id="rId2" Type="http://schemas.openxmlformats.org/officeDocument/2006/relationships/table" Target="../tables/table128.xml"/><Relationship Id="rId1" Type="http://schemas.openxmlformats.org/officeDocument/2006/relationships/printerSettings" Target="../printerSettings/printerSettings38.bin"/><Relationship Id="rId4" Type="http://schemas.openxmlformats.org/officeDocument/2006/relationships/table" Target="../tables/table130.xml"/></Relationships>
</file>

<file path=xl/worksheets/_rels/sheet5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2.xml"/><Relationship Id="rId2" Type="http://schemas.openxmlformats.org/officeDocument/2006/relationships/table" Target="../tables/table131.xml"/><Relationship Id="rId1" Type="http://schemas.openxmlformats.org/officeDocument/2006/relationships/printerSettings" Target="../printerSettings/printerSettings39.bin"/><Relationship Id="rId4" Type="http://schemas.openxmlformats.org/officeDocument/2006/relationships/table" Target="../tables/table133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5.xml"/><Relationship Id="rId2" Type="http://schemas.openxmlformats.org/officeDocument/2006/relationships/table" Target="../tables/table134.xml"/><Relationship Id="rId1" Type="http://schemas.openxmlformats.org/officeDocument/2006/relationships/printerSettings" Target="../printerSettings/printerSettings40.bin"/><Relationship Id="rId4" Type="http://schemas.openxmlformats.org/officeDocument/2006/relationships/table" Target="../tables/table136.xml"/></Relationships>
</file>

<file path=xl/worksheets/_rels/sheet5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8.xml"/><Relationship Id="rId2" Type="http://schemas.openxmlformats.org/officeDocument/2006/relationships/table" Target="../tables/table137.xml"/><Relationship Id="rId1" Type="http://schemas.openxmlformats.org/officeDocument/2006/relationships/printerSettings" Target="../printerSettings/printerSettings41.bin"/><Relationship Id="rId4" Type="http://schemas.openxmlformats.org/officeDocument/2006/relationships/table" Target="../tables/table139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1.xml"/><Relationship Id="rId2" Type="http://schemas.openxmlformats.org/officeDocument/2006/relationships/table" Target="../tables/table140.xml"/><Relationship Id="rId1" Type="http://schemas.openxmlformats.org/officeDocument/2006/relationships/printerSettings" Target="../printerSettings/printerSettings42.bin"/><Relationship Id="rId4" Type="http://schemas.openxmlformats.org/officeDocument/2006/relationships/table" Target="../tables/table142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4.xml"/><Relationship Id="rId2" Type="http://schemas.openxmlformats.org/officeDocument/2006/relationships/table" Target="../tables/table143.xml"/><Relationship Id="rId1" Type="http://schemas.openxmlformats.org/officeDocument/2006/relationships/printerSettings" Target="../printerSettings/printerSettings43.bin"/><Relationship Id="rId4" Type="http://schemas.openxmlformats.org/officeDocument/2006/relationships/table" Target="../tables/table145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7.xml"/><Relationship Id="rId2" Type="http://schemas.openxmlformats.org/officeDocument/2006/relationships/table" Target="../tables/table146.xml"/><Relationship Id="rId1" Type="http://schemas.openxmlformats.org/officeDocument/2006/relationships/printerSettings" Target="../printerSettings/printerSettings44.bin"/><Relationship Id="rId4" Type="http://schemas.openxmlformats.org/officeDocument/2006/relationships/table" Target="../tables/table14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0.xml"/><Relationship Id="rId2" Type="http://schemas.openxmlformats.org/officeDocument/2006/relationships/table" Target="../tables/table149.xml"/><Relationship Id="rId1" Type="http://schemas.openxmlformats.org/officeDocument/2006/relationships/printerSettings" Target="../printerSettings/printerSettings45.bin"/><Relationship Id="rId4" Type="http://schemas.openxmlformats.org/officeDocument/2006/relationships/table" Target="../tables/table15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1C64C-0029-4403-8100-1DC2D2C934F8}">
  <dimension ref="A1:B7"/>
  <sheetViews>
    <sheetView rightToLeft="1" workbookViewId="0">
      <selection activeCell="A3" sqref="A3"/>
    </sheetView>
  </sheetViews>
  <sheetFormatPr defaultColWidth="8.85546875" defaultRowHeight="15" x14ac:dyDescent="0.25"/>
  <cols>
    <col min="1" max="1" width="16.28515625" customWidth="1"/>
  </cols>
  <sheetData>
    <row r="1" spans="1:2" ht="23.25" x14ac:dyDescent="0.35">
      <c r="A1" s="1" t="s">
        <v>23</v>
      </c>
    </row>
    <row r="3" spans="1:2" x14ac:dyDescent="0.25">
      <c r="A3" s="2" t="s">
        <v>24</v>
      </c>
      <c r="B3" t="s">
        <v>28</v>
      </c>
    </row>
    <row r="4" spans="1:2" x14ac:dyDescent="0.25">
      <c r="A4" s="2" t="s">
        <v>25</v>
      </c>
      <c r="B4" t="s">
        <v>29</v>
      </c>
    </row>
    <row r="5" spans="1:2" x14ac:dyDescent="0.25">
      <c r="A5" s="2" t="s">
        <v>16</v>
      </c>
      <c r="B5" t="s">
        <v>30</v>
      </c>
    </row>
    <row r="6" spans="1:2" x14ac:dyDescent="0.25">
      <c r="A6" s="2" t="s">
        <v>18</v>
      </c>
      <c r="B6" t="s">
        <v>31</v>
      </c>
    </row>
    <row r="7" spans="1:2" x14ac:dyDescent="0.25">
      <c r="A7" s="2" t="s">
        <v>26</v>
      </c>
      <c r="B7" t="s">
        <v>32</v>
      </c>
    </row>
  </sheetData>
  <hyperlinks>
    <hyperlink ref="A3" location="'חומרי גלם'!A1" display="חומרי גלם" xr:uid="{44D18FC3-6227-4139-AE2E-7CDF15928510}"/>
    <hyperlink ref="A4" location="אריזות!A1" display="אריזות" xr:uid="{ACE8B43C-568D-4528-8F00-4C73D251230C}"/>
    <hyperlink ref="A5" location="'עלות ליחידה'!A1" display="עלות ליחידה" xr:uid="{F92DBD8F-EE44-46A8-A6FD-F99566D52F5D}"/>
    <hyperlink ref="A6" location="מוצרים!A1" display="מוצרים" xr:uid="{3BDE7224-FF60-470D-A6BB-B75A0FEA0A5D}"/>
    <hyperlink ref="A7" location="מארזים!A1" display="מארזים" xr:uid="{3E23F697-C818-41AD-B4E6-FB9CC2B8036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EC657E-92CF-428D-B1D7-34D35E2A3CF5}">
  <sheetPr>
    <tabColor theme="4"/>
  </sheetPr>
  <dimension ref="A1:G103"/>
  <sheetViews>
    <sheetView rightToLeft="1" topLeftCell="A87" workbookViewId="0">
      <selection activeCell="D104" sqref="D104"/>
    </sheetView>
  </sheetViews>
  <sheetFormatPr defaultColWidth="15.85546875" defaultRowHeight="24.95" customHeight="1" x14ac:dyDescent="0.3"/>
  <cols>
    <col min="1" max="1" width="36.42578125" style="3" bestFit="1" customWidth="1"/>
    <col min="2" max="16384" width="15.85546875" style="3"/>
  </cols>
  <sheetData>
    <row r="1" spans="1:7" ht="24.95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G1" s="4" t="s">
        <v>27</v>
      </c>
    </row>
    <row r="2" spans="1:7" ht="24.95" customHeight="1" x14ac:dyDescent="0.3">
      <c r="A2" s="3" t="s">
        <v>34</v>
      </c>
      <c r="B2" s="18">
        <v>18.899999999999999</v>
      </c>
      <c r="C2" s="18">
        <v>500</v>
      </c>
      <c r="D2" s="3" t="s">
        <v>4</v>
      </c>
    </row>
    <row r="3" spans="1:7" ht="24.95" customHeight="1" x14ac:dyDescent="0.3">
      <c r="A3" s="3" t="s">
        <v>35</v>
      </c>
      <c r="B3" s="18">
        <v>7.07</v>
      </c>
      <c r="C3" s="18">
        <v>250</v>
      </c>
      <c r="D3" s="3" t="s">
        <v>4</v>
      </c>
    </row>
    <row r="4" spans="1:7" ht="24.95" customHeight="1" x14ac:dyDescent="0.3">
      <c r="A4" s="3" t="s">
        <v>117</v>
      </c>
      <c r="B4" s="18">
        <v>325</v>
      </c>
      <c r="C4" s="18">
        <v>10000</v>
      </c>
      <c r="D4" s="3" t="s">
        <v>4</v>
      </c>
    </row>
    <row r="5" spans="1:7" ht="24.95" customHeight="1" x14ac:dyDescent="0.3">
      <c r="A5" s="3" t="s">
        <v>118</v>
      </c>
      <c r="B5" s="18">
        <v>375</v>
      </c>
      <c r="C5" s="18">
        <v>10000</v>
      </c>
      <c r="D5" s="3" t="s">
        <v>4</v>
      </c>
    </row>
    <row r="6" spans="1:7" ht="24.95" customHeight="1" x14ac:dyDescent="0.3">
      <c r="A6" s="3" t="s">
        <v>119</v>
      </c>
      <c r="B6" s="18">
        <v>375</v>
      </c>
      <c r="C6" s="18">
        <v>10000</v>
      </c>
      <c r="D6" s="3" t="s">
        <v>4</v>
      </c>
    </row>
    <row r="7" spans="1:7" ht="24.95" customHeight="1" x14ac:dyDescent="0.3">
      <c r="A7" s="3" t="s">
        <v>36</v>
      </c>
      <c r="B7" s="18">
        <v>45</v>
      </c>
      <c r="C7" s="18">
        <v>1000</v>
      </c>
      <c r="D7" s="3" t="s">
        <v>4</v>
      </c>
    </row>
    <row r="8" spans="1:7" ht="24.95" customHeight="1" x14ac:dyDescent="0.3">
      <c r="A8" s="3" t="s">
        <v>155</v>
      </c>
      <c r="B8" s="18">
        <v>40</v>
      </c>
      <c r="C8" s="18">
        <v>1000</v>
      </c>
      <c r="D8" s="3" t="s">
        <v>4</v>
      </c>
    </row>
    <row r="9" spans="1:7" ht="24.95" customHeight="1" x14ac:dyDescent="0.3">
      <c r="A9" s="3" t="s">
        <v>37</v>
      </c>
      <c r="B9" s="18">
        <v>24.9</v>
      </c>
      <c r="C9" s="18">
        <v>16</v>
      </c>
      <c r="D9" s="3" t="s">
        <v>76</v>
      </c>
    </row>
    <row r="10" spans="1:7" ht="24.95" customHeight="1" x14ac:dyDescent="0.3">
      <c r="A10" s="3" t="s">
        <v>38</v>
      </c>
      <c r="B10" s="18">
        <v>9.9</v>
      </c>
      <c r="C10" s="18">
        <v>176</v>
      </c>
      <c r="D10" s="3" t="s">
        <v>4</v>
      </c>
    </row>
    <row r="11" spans="1:7" ht="24.95" customHeight="1" x14ac:dyDescent="0.3">
      <c r="A11" s="3" t="s">
        <v>39</v>
      </c>
      <c r="B11" s="19">
        <v>9.9</v>
      </c>
      <c r="C11" s="19">
        <v>170</v>
      </c>
      <c r="D11" s="3" t="s">
        <v>4</v>
      </c>
    </row>
    <row r="12" spans="1:7" ht="24.95" customHeight="1" x14ac:dyDescent="0.3">
      <c r="A12" s="3" t="s">
        <v>40</v>
      </c>
      <c r="B12" s="18">
        <v>11.9</v>
      </c>
      <c r="C12" s="18">
        <v>250</v>
      </c>
      <c r="D12" s="3" t="s">
        <v>4</v>
      </c>
    </row>
    <row r="13" spans="1:7" ht="24.95" customHeight="1" x14ac:dyDescent="0.3">
      <c r="A13" s="3" t="s">
        <v>41</v>
      </c>
      <c r="B13" s="18">
        <v>12.9</v>
      </c>
      <c r="C13" s="18">
        <v>6</v>
      </c>
      <c r="D13" s="3" t="s">
        <v>76</v>
      </c>
    </row>
    <row r="14" spans="1:7" ht="24.95" customHeight="1" x14ac:dyDescent="0.3">
      <c r="A14" s="3" t="s">
        <v>120</v>
      </c>
      <c r="B14" s="18">
        <v>92</v>
      </c>
      <c r="C14" s="18">
        <v>5000</v>
      </c>
      <c r="D14" s="3" t="s">
        <v>4</v>
      </c>
    </row>
    <row r="15" spans="1:7" ht="24.95" customHeight="1" x14ac:dyDescent="0.3">
      <c r="A15" s="3" t="s">
        <v>121</v>
      </c>
      <c r="B15" s="18">
        <v>92</v>
      </c>
      <c r="C15" s="18">
        <v>5000</v>
      </c>
      <c r="D15" s="3" t="s">
        <v>4</v>
      </c>
    </row>
    <row r="16" spans="1:7" ht="24.95" customHeight="1" x14ac:dyDescent="0.3">
      <c r="A16" s="3" t="s">
        <v>42</v>
      </c>
      <c r="B16" s="18">
        <v>170</v>
      </c>
      <c r="C16" s="18">
        <v>1000</v>
      </c>
      <c r="D16" s="3" t="s">
        <v>4</v>
      </c>
    </row>
    <row r="17" spans="1:4" ht="24.95" customHeight="1" x14ac:dyDescent="0.3">
      <c r="A17" s="3" t="s">
        <v>43</v>
      </c>
      <c r="B17" s="18">
        <v>8.6</v>
      </c>
      <c r="C17" s="18">
        <v>1000</v>
      </c>
      <c r="D17" s="3" t="s">
        <v>4</v>
      </c>
    </row>
    <row r="18" spans="1:4" ht="24.95" customHeight="1" x14ac:dyDescent="0.3">
      <c r="A18" s="3" t="s">
        <v>44</v>
      </c>
      <c r="B18" s="18">
        <v>25.9</v>
      </c>
      <c r="C18" s="18">
        <v>250</v>
      </c>
      <c r="D18" s="3" t="s">
        <v>4</v>
      </c>
    </row>
    <row r="19" spans="1:4" ht="24.95" customHeight="1" x14ac:dyDescent="0.3">
      <c r="A19" s="3" t="s">
        <v>45</v>
      </c>
      <c r="B19" s="18">
        <v>17.899999999999999</v>
      </c>
      <c r="C19" s="18">
        <v>1000</v>
      </c>
      <c r="D19" s="3" t="s">
        <v>4</v>
      </c>
    </row>
    <row r="20" spans="1:4" ht="24.95" customHeight="1" x14ac:dyDescent="0.3">
      <c r="A20" s="3" t="s">
        <v>46</v>
      </c>
      <c r="B20" s="18">
        <v>10.9</v>
      </c>
      <c r="C20" s="18">
        <v>1000</v>
      </c>
      <c r="D20" s="3" t="s">
        <v>4</v>
      </c>
    </row>
    <row r="21" spans="1:4" ht="24.95" customHeight="1" x14ac:dyDescent="0.3">
      <c r="A21" s="3" t="s">
        <v>47</v>
      </c>
      <c r="B21" s="18">
        <v>7.9</v>
      </c>
      <c r="C21" s="18">
        <v>1000</v>
      </c>
      <c r="D21" s="3" t="s">
        <v>4</v>
      </c>
    </row>
    <row r="22" spans="1:4" ht="24.95" customHeight="1" x14ac:dyDescent="0.3">
      <c r="A22" s="3" t="s">
        <v>48</v>
      </c>
      <c r="B22" s="18">
        <v>5.2</v>
      </c>
      <c r="C22" s="18">
        <v>1000</v>
      </c>
      <c r="D22" s="3" t="s">
        <v>4</v>
      </c>
    </row>
    <row r="23" spans="1:4" ht="24.95" customHeight="1" x14ac:dyDescent="0.3">
      <c r="A23" s="3" t="s">
        <v>49</v>
      </c>
      <c r="B23" s="18">
        <v>12.9</v>
      </c>
      <c r="C23" s="18">
        <v>1000</v>
      </c>
      <c r="D23" s="3" t="s">
        <v>4</v>
      </c>
    </row>
    <row r="24" spans="1:4" ht="24.95" customHeight="1" x14ac:dyDescent="0.3">
      <c r="A24" s="3" t="s">
        <v>50</v>
      </c>
      <c r="B24" s="18">
        <v>12.9</v>
      </c>
      <c r="C24" s="18">
        <v>1000</v>
      </c>
      <c r="D24" s="3" t="s">
        <v>4</v>
      </c>
    </row>
    <row r="25" spans="1:4" ht="24.95" customHeight="1" x14ac:dyDescent="0.3">
      <c r="A25" s="3" t="s">
        <v>51</v>
      </c>
      <c r="B25" s="18">
        <v>14.9</v>
      </c>
      <c r="C25" s="18">
        <v>1000</v>
      </c>
      <c r="D25" s="3" t="s">
        <v>4</v>
      </c>
    </row>
    <row r="26" spans="1:4" ht="24.95" customHeight="1" x14ac:dyDescent="0.3">
      <c r="A26" s="3" t="s">
        <v>52</v>
      </c>
      <c r="B26" s="18">
        <v>1.3</v>
      </c>
      <c r="C26" s="18">
        <v>1000</v>
      </c>
      <c r="D26" s="3" t="s">
        <v>4</v>
      </c>
    </row>
    <row r="27" spans="1:4" ht="24.95" customHeight="1" x14ac:dyDescent="0.3">
      <c r="A27" s="3" t="s">
        <v>53</v>
      </c>
      <c r="B27" s="18">
        <v>1.3</v>
      </c>
      <c r="C27" s="18">
        <v>1000</v>
      </c>
      <c r="D27" s="3" t="s">
        <v>4</v>
      </c>
    </row>
    <row r="28" spans="1:4" ht="24.95" customHeight="1" x14ac:dyDescent="0.3">
      <c r="A28" s="3" t="s">
        <v>54</v>
      </c>
      <c r="B28" s="18">
        <v>23.9</v>
      </c>
      <c r="C28" s="18">
        <v>550</v>
      </c>
      <c r="D28" s="3" t="s">
        <v>4</v>
      </c>
    </row>
    <row r="29" spans="1:4" ht="24.95" customHeight="1" x14ac:dyDescent="0.3">
      <c r="A29" s="3" t="s">
        <v>55</v>
      </c>
      <c r="B29" s="18">
        <v>4.9000000000000004</v>
      </c>
      <c r="C29" s="18">
        <v>50</v>
      </c>
      <c r="D29" s="3" t="s">
        <v>77</v>
      </c>
    </row>
    <row r="30" spans="1:4" ht="24.95" customHeight="1" x14ac:dyDescent="0.3">
      <c r="A30" s="3" t="s">
        <v>56</v>
      </c>
      <c r="B30" s="18">
        <v>1.9</v>
      </c>
      <c r="C30" s="18">
        <v>100</v>
      </c>
      <c r="D30" s="3" t="s">
        <v>4</v>
      </c>
    </row>
    <row r="31" spans="1:4" ht="24.95" customHeight="1" x14ac:dyDescent="0.3">
      <c r="A31" s="3" t="s">
        <v>57</v>
      </c>
      <c r="B31" s="18">
        <v>1.9</v>
      </c>
      <c r="C31" s="18">
        <v>100</v>
      </c>
      <c r="D31" s="3" t="s">
        <v>4</v>
      </c>
    </row>
    <row r="32" spans="1:4" ht="24.95" customHeight="1" x14ac:dyDescent="0.3">
      <c r="A32" s="3" t="s">
        <v>58</v>
      </c>
      <c r="B32" s="18">
        <v>10</v>
      </c>
      <c r="C32" s="18">
        <v>1000</v>
      </c>
      <c r="D32" s="3" t="s">
        <v>4</v>
      </c>
    </row>
    <row r="33" spans="1:4" ht="24.95" customHeight="1" x14ac:dyDescent="0.3">
      <c r="A33" s="3" t="s">
        <v>59</v>
      </c>
      <c r="B33" s="18">
        <v>4.7</v>
      </c>
      <c r="C33" s="18">
        <v>80</v>
      </c>
      <c r="D33" s="3" t="s">
        <v>4</v>
      </c>
    </row>
    <row r="34" spans="1:4" ht="24.95" customHeight="1" x14ac:dyDescent="0.3">
      <c r="A34" s="3" t="s">
        <v>60</v>
      </c>
      <c r="B34" s="18">
        <v>100</v>
      </c>
      <c r="C34" s="18">
        <v>5000</v>
      </c>
      <c r="D34" s="3" t="s">
        <v>4</v>
      </c>
    </row>
    <row r="35" spans="1:4" ht="24.95" customHeight="1" x14ac:dyDescent="0.3">
      <c r="A35" s="3" t="s">
        <v>61</v>
      </c>
      <c r="B35" s="18">
        <v>8.1999999999999993</v>
      </c>
      <c r="C35" s="18">
        <v>250</v>
      </c>
      <c r="D35" s="3" t="s">
        <v>4</v>
      </c>
    </row>
    <row r="36" spans="1:4" ht="24.95" customHeight="1" x14ac:dyDescent="0.3">
      <c r="A36" s="3" t="s">
        <v>62</v>
      </c>
      <c r="B36" s="18">
        <v>20</v>
      </c>
      <c r="C36" s="18">
        <v>1000</v>
      </c>
      <c r="D36" s="3" t="s">
        <v>4</v>
      </c>
    </row>
    <row r="37" spans="1:4" ht="24.95" customHeight="1" x14ac:dyDescent="0.3">
      <c r="A37" s="3" t="s">
        <v>63</v>
      </c>
      <c r="B37" s="18">
        <v>14.9</v>
      </c>
      <c r="C37" s="18">
        <v>1000</v>
      </c>
      <c r="D37" s="3" t="s">
        <v>77</v>
      </c>
    </row>
    <row r="38" spans="1:4" ht="24.95" customHeight="1" x14ac:dyDescent="0.3">
      <c r="A38" s="3" t="s">
        <v>64</v>
      </c>
      <c r="B38" s="18">
        <v>11.9</v>
      </c>
      <c r="C38" s="18">
        <v>260</v>
      </c>
      <c r="D38" s="3" t="s">
        <v>4</v>
      </c>
    </row>
    <row r="39" spans="1:4" ht="24.95" customHeight="1" x14ac:dyDescent="0.3">
      <c r="A39" s="3" t="s">
        <v>65</v>
      </c>
      <c r="B39" s="18">
        <v>11.9</v>
      </c>
      <c r="C39" s="18">
        <v>260</v>
      </c>
      <c r="D39" s="3" t="s">
        <v>4</v>
      </c>
    </row>
    <row r="40" spans="1:4" ht="24.95" customHeight="1" x14ac:dyDescent="0.3">
      <c r="A40" s="3" t="s">
        <v>66</v>
      </c>
      <c r="B40" s="18">
        <v>6.81</v>
      </c>
      <c r="C40" s="18">
        <v>1000</v>
      </c>
      <c r="D40" s="3" t="s">
        <v>77</v>
      </c>
    </row>
    <row r="41" spans="1:4" ht="24.95" customHeight="1" x14ac:dyDescent="0.3">
      <c r="A41" s="3" t="s">
        <v>67</v>
      </c>
      <c r="B41" s="18">
        <v>8.9</v>
      </c>
      <c r="C41" s="18">
        <v>1000</v>
      </c>
      <c r="D41" s="3" t="s">
        <v>77</v>
      </c>
    </row>
    <row r="42" spans="1:4" ht="24.95" customHeight="1" x14ac:dyDescent="0.3">
      <c r="A42" s="3" t="s">
        <v>68</v>
      </c>
      <c r="B42" s="18">
        <v>11.9</v>
      </c>
      <c r="C42" s="18">
        <v>1000</v>
      </c>
      <c r="D42" s="3" t="s">
        <v>77</v>
      </c>
    </row>
    <row r="43" spans="1:4" ht="24.95" customHeight="1" x14ac:dyDescent="0.3">
      <c r="A43" s="3" t="s">
        <v>69</v>
      </c>
      <c r="B43" s="18">
        <v>7.9</v>
      </c>
      <c r="C43" s="18">
        <v>400</v>
      </c>
      <c r="D43" s="3" t="s">
        <v>4</v>
      </c>
    </row>
    <row r="44" spans="1:4" ht="24.95" customHeight="1" x14ac:dyDescent="0.3">
      <c r="A44" s="3" t="s">
        <v>70</v>
      </c>
      <c r="B44" s="18">
        <v>6.9</v>
      </c>
      <c r="C44" s="18">
        <v>500</v>
      </c>
      <c r="D44" s="3" t="s">
        <v>4</v>
      </c>
    </row>
    <row r="45" spans="1:4" ht="24.95" customHeight="1" x14ac:dyDescent="0.3">
      <c r="A45" s="3" t="s">
        <v>71</v>
      </c>
      <c r="B45" s="18">
        <v>3.6</v>
      </c>
      <c r="C45" s="18">
        <v>50</v>
      </c>
      <c r="D45" s="3" t="s">
        <v>4</v>
      </c>
    </row>
    <row r="46" spans="1:4" ht="24.95" customHeight="1" x14ac:dyDescent="0.3">
      <c r="A46" s="3" t="s">
        <v>72</v>
      </c>
      <c r="B46" s="18">
        <v>8.9</v>
      </c>
      <c r="C46" s="18">
        <v>100</v>
      </c>
      <c r="D46" s="3" t="s">
        <v>4</v>
      </c>
    </row>
    <row r="47" spans="1:4" ht="24.95" customHeight="1" x14ac:dyDescent="0.3">
      <c r="A47" s="3" t="s">
        <v>73</v>
      </c>
      <c r="B47" s="18">
        <v>9</v>
      </c>
      <c r="C47" s="18">
        <v>200</v>
      </c>
      <c r="D47" s="3" t="s">
        <v>4</v>
      </c>
    </row>
    <row r="48" spans="1:4" ht="24.95" customHeight="1" x14ac:dyDescent="0.3">
      <c r="A48" s="3" t="s">
        <v>74</v>
      </c>
      <c r="B48" s="18">
        <v>13.9</v>
      </c>
      <c r="C48" s="18">
        <v>200</v>
      </c>
      <c r="D48" s="3" t="s">
        <v>4</v>
      </c>
    </row>
    <row r="49" spans="1:4" ht="24.95" customHeight="1" x14ac:dyDescent="0.3">
      <c r="A49" s="3" t="s">
        <v>78</v>
      </c>
      <c r="B49" s="18">
        <v>14.9</v>
      </c>
      <c r="C49" s="18">
        <v>16</v>
      </c>
      <c r="D49" s="3" t="s">
        <v>76</v>
      </c>
    </row>
    <row r="50" spans="1:4" ht="24.95" customHeight="1" x14ac:dyDescent="0.3">
      <c r="A50" s="3" t="s">
        <v>75</v>
      </c>
      <c r="B50" s="18">
        <v>16.899999999999999</v>
      </c>
      <c r="C50" s="18">
        <v>300</v>
      </c>
      <c r="D50" s="3" t="s">
        <v>4</v>
      </c>
    </row>
    <row r="51" spans="1:4" ht="24.95" customHeight="1" x14ac:dyDescent="0.3">
      <c r="A51" s="3" t="s">
        <v>97</v>
      </c>
      <c r="B51" s="20">
        <v>12.89</v>
      </c>
      <c r="C51" s="20">
        <v>12</v>
      </c>
      <c r="D51" s="3" t="s">
        <v>76</v>
      </c>
    </row>
    <row r="52" spans="1:4" ht="24.95" customHeight="1" x14ac:dyDescent="0.3">
      <c r="A52" s="3" t="s">
        <v>98</v>
      </c>
      <c r="B52" s="21">
        <v>13.97</v>
      </c>
      <c r="C52" s="21">
        <v>12</v>
      </c>
      <c r="D52" s="3" t="s">
        <v>76</v>
      </c>
    </row>
    <row r="53" spans="1:4" ht="24.95" customHeight="1" x14ac:dyDescent="0.3">
      <c r="A53" s="3" t="s">
        <v>122</v>
      </c>
      <c r="B53" s="21">
        <v>15</v>
      </c>
      <c r="C53" s="21">
        <v>500</v>
      </c>
      <c r="D53" s="3" t="s">
        <v>4</v>
      </c>
    </row>
    <row r="54" spans="1:4" ht="24.95" customHeight="1" x14ac:dyDescent="0.3">
      <c r="A54" s="3" t="s">
        <v>123</v>
      </c>
      <c r="B54" s="21">
        <v>129</v>
      </c>
      <c r="C54" s="21">
        <v>120</v>
      </c>
      <c r="D54" s="3" t="s">
        <v>4</v>
      </c>
    </row>
    <row r="55" spans="1:4" ht="24.95" customHeight="1" x14ac:dyDescent="0.3">
      <c r="A55" s="3" t="s">
        <v>128</v>
      </c>
      <c r="B55" s="20">
        <v>35</v>
      </c>
      <c r="C55" s="20">
        <v>1</v>
      </c>
      <c r="D55" s="3" t="s">
        <v>76</v>
      </c>
    </row>
    <row r="56" spans="1:4" ht="24.95" customHeight="1" x14ac:dyDescent="0.3">
      <c r="A56" s="3" t="s">
        <v>129</v>
      </c>
      <c r="B56" s="20">
        <v>18</v>
      </c>
      <c r="C56" s="20">
        <v>1</v>
      </c>
      <c r="D56" s="3" t="s">
        <v>76</v>
      </c>
    </row>
    <row r="57" spans="1:4" ht="24.95" customHeight="1" x14ac:dyDescent="0.3">
      <c r="A57" s="3" t="s">
        <v>130</v>
      </c>
      <c r="B57" s="20">
        <v>8</v>
      </c>
      <c r="C57" s="20">
        <v>1</v>
      </c>
      <c r="D57" s="3" t="s">
        <v>76</v>
      </c>
    </row>
    <row r="58" spans="1:4" ht="24.95" customHeight="1" x14ac:dyDescent="0.3">
      <c r="A58" s="3" t="s">
        <v>131</v>
      </c>
      <c r="B58" s="20">
        <v>3</v>
      </c>
      <c r="C58" s="20">
        <v>1</v>
      </c>
      <c r="D58" s="3" t="s">
        <v>76</v>
      </c>
    </row>
    <row r="59" spans="1:4" ht="24.95" customHeight="1" x14ac:dyDescent="0.3">
      <c r="A59" s="3" t="s">
        <v>132</v>
      </c>
      <c r="B59" s="20">
        <v>3</v>
      </c>
      <c r="C59" s="20">
        <v>1</v>
      </c>
      <c r="D59" s="3" t="s">
        <v>76</v>
      </c>
    </row>
    <row r="60" spans="1:4" ht="24.95" customHeight="1" x14ac:dyDescent="0.3">
      <c r="A60" s="3" t="s">
        <v>134</v>
      </c>
      <c r="B60" s="20">
        <v>12</v>
      </c>
      <c r="C60" s="20">
        <v>150</v>
      </c>
      <c r="D60" s="3" t="s">
        <v>4</v>
      </c>
    </row>
    <row r="61" spans="1:4" ht="24.95" customHeight="1" x14ac:dyDescent="0.3">
      <c r="A61" s="3" t="s">
        <v>135</v>
      </c>
      <c r="B61" s="20">
        <v>38</v>
      </c>
      <c r="C61" s="20">
        <v>350</v>
      </c>
      <c r="D61" s="3" t="s">
        <v>4</v>
      </c>
    </row>
    <row r="62" spans="1:4" ht="24.95" customHeight="1" x14ac:dyDescent="0.3">
      <c r="A62" s="3" t="s">
        <v>136</v>
      </c>
      <c r="B62" s="20">
        <v>10</v>
      </c>
      <c r="C62" s="20">
        <v>100</v>
      </c>
      <c r="D62" s="3" t="s">
        <v>4</v>
      </c>
    </row>
    <row r="63" spans="1:4" ht="24.95" customHeight="1" x14ac:dyDescent="0.3">
      <c r="A63" s="3" t="s">
        <v>137</v>
      </c>
      <c r="B63" s="20">
        <v>18</v>
      </c>
      <c r="C63" s="20">
        <v>100</v>
      </c>
      <c r="D63" s="3" t="s">
        <v>4</v>
      </c>
    </row>
    <row r="64" spans="1:4" ht="24.95" customHeight="1" x14ac:dyDescent="0.3">
      <c r="A64" s="3" t="s">
        <v>138</v>
      </c>
      <c r="B64" s="20">
        <v>15</v>
      </c>
      <c r="C64" s="20">
        <v>100</v>
      </c>
      <c r="D64" s="3" t="s">
        <v>4</v>
      </c>
    </row>
    <row r="65" spans="1:4" ht="24.95" customHeight="1" x14ac:dyDescent="0.3">
      <c r="A65" s="3" t="s">
        <v>139</v>
      </c>
      <c r="B65" s="20">
        <v>115</v>
      </c>
      <c r="C65" s="20">
        <v>100</v>
      </c>
      <c r="D65" s="3" t="s">
        <v>4</v>
      </c>
    </row>
    <row r="66" spans="1:4" ht="24.95" customHeight="1" x14ac:dyDescent="0.3">
      <c r="A66" s="3" t="s">
        <v>140</v>
      </c>
      <c r="B66" s="20">
        <v>26</v>
      </c>
      <c r="C66" s="20">
        <v>1</v>
      </c>
      <c r="D66" s="3" t="s">
        <v>76</v>
      </c>
    </row>
    <row r="67" spans="1:4" ht="24.95" customHeight="1" x14ac:dyDescent="0.3">
      <c r="A67" s="3" t="s">
        <v>141</v>
      </c>
      <c r="B67" s="20">
        <v>7</v>
      </c>
      <c r="C67" s="20">
        <v>10</v>
      </c>
      <c r="D67" s="3" t="s">
        <v>76</v>
      </c>
    </row>
    <row r="68" spans="1:4" ht="24.95" customHeight="1" x14ac:dyDescent="0.3">
      <c r="A68" s="3" t="s">
        <v>142</v>
      </c>
      <c r="B68" s="20">
        <v>18</v>
      </c>
      <c r="C68" s="20">
        <v>100</v>
      </c>
      <c r="D68" s="3" t="s">
        <v>76</v>
      </c>
    </row>
    <row r="69" spans="1:4" ht="24.95" customHeight="1" x14ac:dyDescent="0.3">
      <c r="A69" s="3" t="s">
        <v>143</v>
      </c>
      <c r="B69" s="21">
        <v>44</v>
      </c>
      <c r="C69" s="21">
        <v>10</v>
      </c>
      <c r="D69" s="3" t="s">
        <v>76</v>
      </c>
    </row>
    <row r="70" spans="1:4" ht="24.95" customHeight="1" x14ac:dyDescent="0.3">
      <c r="A70" s="3" t="s">
        <v>145</v>
      </c>
      <c r="B70" s="21">
        <v>60</v>
      </c>
      <c r="C70" s="21">
        <v>1000</v>
      </c>
      <c r="D70" s="3" t="s">
        <v>4</v>
      </c>
    </row>
    <row r="71" spans="1:4" ht="24.95" customHeight="1" x14ac:dyDescent="0.3">
      <c r="A71" s="3" t="s">
        <v>146</v>
      </c>
      <c r="B71" s="21">
        <v>11.5</v>
      </c>
      <c r="C71" s="21">
        <v>500</v>
      </c>
      <c r="D71" s="3" t="s">
        <v>4</v>
      </c>
    </row>
    <row r="72" spans="1:4" ht="24.95" customHeight="1" x14ac:dyDescent="0.3">
      <c r="A72" s="3" t="s">
        <v>147</v>
      </c>
      <c r="B72" s="20">
        <v>40</v>
      </c>
      <c r="C72" s="20">
        <v>500</v>
      </c>
      <c r="D72" s="3" t="s">
        <v>4</v>
      </c>
    </row>
    <row r="73" spans="1:4" ht="24.95" customHeight="1" x14ac:dyDescent="0.3">
      <c r="A73" s="3" t="s">
        <v>148</v>
      </c>
      <c r="B73" s="20">
        <v>35</v>
      </c>
      <c r="C73" s="20">
        <v>400</v>
      </c>
      <c r="D73" s="3" t="s">
        <v>4</v>
      </c>
    </row>
    <row r="74" spans="1:4" ht="24.95" customHeight="1" x14ac:dyDescent="0.3">
      <c r="A74" s="3" t="s">
        <v>149</v>
      </c>
      <c r="B74" s="21">
        <v>30</v>
      </c>
      <c r="C74" s="21">
        <v>400</v>
      </c>
      <c r="D74" s="3" t="s">
        <v>4</v>
      </c>
    </row>
    <row r="75" spans="1:4" ht="24.95" customHeight="1" x14ac:dyDescent="0.3">
      <c r="A75" s="3" t="s">
        <v>150</v>
      </c>
      <c r="B75" s="21">
        <v>55</v>
      </c>
      <c r="C75" s="21">
        <v>1000</v>
      </c>
      <c r="D75" s="3" t="s">
        <v>4</v>
      </c>
    </row>
    <row r="76" spans="1:4" ht="24.95" customHeight="1" x14ac:dyDescent="0.3">
      <c r="A76" s="3" t="s">
        <v>152</v>
      </c>
      <c r="B76" s="20">
        <v>6.9</v>
      </c>
      <c r="C76" s="20">
        <v>500</v>
      </c>
      <c r="D76" s="3" t="s">
        <v>4</v>
      </c>
    </row>
    <row r="77" spans="1:4" ht="24.95" customHeight="1" x14ac:dyDescent="0.3">
      <c r="A77" s="3" t="s">
        <v>153</v>
      </c>
      <c r="B77" s="20">
        <v>4</v>
      </c>
      <c r="C77" s="20">
        <v>100</v>
      </c>
      <c r="D77" s="3" t="s">
        <v>4</v>
      </c>
    </row>
    <row r="78" spans="1:4" ht="24.95" customHeight="1" x14ac:dyDescent="0.3">
      <c r="A78" s="3" t="s">
        <v>154</v>
      </c>
      <c r="B78" s="20">
        <v>20</v>
      </c>
      <c r="C78" s="20">
        <v>850</v>
      </c>
      <c r="D78" s="3" t="s">
        <v>4</v>
      </c>
    </row>
    <row r="79" spans="1:4" ht="24.95" customHeight="1" x14ac:dyDescent="0.3">
      <c r="A79" s="3" t="s">
        <v>156</v>
      </c>
      <c r="B79" s="20">
        <v>24</v>
      </c>
      <c r="C79" s="20">
        <v>1000</v>
      </c>
      <c r="D79" s="3" t="s">
        <v>4</v>
      </c>
    </row>
    <row r="80" spans="1:4" ht="24.95" customHeight="1" x14ac:dyDescent="0.3">
      <c r="A80" s="3" t="s">
        <v>160</v>
      </c>
      <c r="B80" s="20">
        <v>15.3</v>
      </c>
      <c r="C80" s="20">
        <v>250</v>
      </c>
      <c r="D80" s="3" t="s">
        <v>4</v>
      </c>
    </row>
    <row r="81" spans="1:4" ht="24.95" customHeight="1" x14ac:dyDescent="0.3">
      <c r="A81" s="3" t="s">
        <v>161</v>
      </c>
      <c r="B81" s="20">
        <v>20.9</v>
      </c>
      <c r="C81" s="20">
        <v>200</v>
      </c>
      <c r="D81" s="3" t="s">
        <v>4</v>
      </c>
    </row>
    <row r="82" spans="1:4" ht="24.95" customHeight="1" x14ac:dyDescent="0.3">
      <c r="A82" s="3" t="s">
        <v>164</v>
      </c>
      <c r="B82" s="20">
        <v>140</v>
      </c>
      <c r="C82" s="20">
        <v>1000</v>
      </c>
      <c r="D82" s="3" t="s">
        <v>4</v>
      </c>
    </row>
    <row r="83" spans="1:4" ht="24.95" customHeight="1" x14ac:dyDescent="0.3">
      <c r="A83" s="3" t="s">
        <v>165</v>
      </c>
      <c r="B83" s="20">
        <v>60</v>
      </c>
      <c r="C83" s="20">
        <v>1000</v>
      </c>
      <c r="D83" s="3" t="s">
        <v>4</v>
      </c>
    </row>
    <row r="84" spans="1:4" ht="24.95" customHeight="1" x14ac:dyDescent="0.3">
      <c r="A84" s="3" t="s">
        <v>166</v>
      </c>
      <c r="B84" s="20">
        <v>85</v>
      </c>
      <c r="C84" s="20">
        <v>1000</v>
      </c>
      <c r="D84" s="3" t="s">
        <v>4</v>
      </c>
    </row>
    <row r="85" spans="1:4" ht="24.95" customHeight="1" x14ac:dyDescent="0.3">
      <c r="A85" s="3" t="s">
        <v>167</v>
      </c>
      <c r="B85" s="20">
        <v>25.9</v>
      </c>
      <c r="C85" s="20">
        <v>1</v>
      </c>
      <c r="D85" s="3" t="s">
        <v>76</v>
      </c>
    </row>
    <row r="86" spans="1:4" ht="24.95" customHeight="1" x14ac:dyDescent="0.3">
      <c r="A86" s="3" t="s">
        <v>168</v>
      </c>
      <c r="B86" s="21">
        <v>19.899999999999999</v>
      </c>
      <c r="C86" s="21">
        <v>1</v>
      </c>
      <c r="D86" s="3" t="s">
        <v>76</v>
      </c>
    </row>
    <row r="87" spans="1:4" ht="24.95" customHeight="1" x14ac:dyDescent="0.3">
      <c r="A87" s="3" t="s">
        <v>176</v>
      </c>
      <c r="B87" s="21">
        <v>40</v>
      </c>
      <c r="C87" s="21">
        <v>150</v>
      </c>
      <c r="D87" s="3" t="s">
        <v>4</v>
      </c>
    </row>
    <row r="88" spans="1:4" ht="24.95" customHeight="1" x14ac:dyDescent="0.3">
      <c r="A88" s="3" t="s">
        <v>177</v>
      </c>
      <c r="B88" s="20">
        <v>7.9</v>
      </c>
      <c r="C88" s="20">
        <v>200</v>
      </c>
      <c r="D88" s="3" t="s">
        <v>4</v>
      </c>
    </row>
    <row r="89" spans="1:4" ht="24.95" customHeight="1" x14ac:dyDescent="0.3">
      <c r="A89" s="3" t="s">
        <v>178</v>
      </c>
      <c r="B89" s="21">
        <v>4.8</v>
      </c>
      <c r="C89" s="21">
        <v>200</v>
      </c>
      <c r="D89" s="3" t="s">
        <v>4</v>
      </c>
    </row>
    <row r="90" spans="1:4" ht="24.95" customHeight="1" x14ac:dyDescent="0.3">
      <c r="A90" s="3" t="s">
        <v>180</v>
      </c>
      <c r="B90" s="21">
        <v>9.6</v>
      </c>
      <c r="C90" s="21">
        <v>200</v>
      </c>
      <c r="D90" s="3" t="s">
        <v>4</v>
      </c>
    </row>
    <row r="91" spans="1:4" ht="24.95" customHeight="1" x14ac:dyDescent="0.3">
      <c r="A91" s="3" t="s">
        <v>182</v>
      </c>
      <c r="B91" s="21">
        <v>28</v>
      </c>
      <c r="C91" s="21">
        <v>1000</v>
      </c>
      <c r="D91" s="3" t="s">
        <v>4</v>
      </c>
    </row>
    <row r="92" spans="1:4" ht="24.95" customHeight="1" x14ac:dyDescent="0.3">
      <c r="A92" s="3" t="s">
        <v>185</v>
      </c>
      <c r="B92" s="21">
        <v>14.9</v>
      </c>
      <c r="C92" s="21">
        <v>500</v>
      </c>
      <c r="D92" s="3" t="s">
        <v>4</v>
      </c>
    </row>
    <row r="93" spans="1:4" ht="24.95" customHeight="1" x14ac:dyDescent="0.3">
      <c r="A93" s="3" t="s">
        <v>188</v>
      </c>
      <c r="B93" s="21">
        <v>15</v>
      </c>
      <c r="C93" s="21">
        <v>580</v>
      </c>
      <c r="D93" s="3" t="s">
        <v>4</v>
      </c>
    </row>
    <row r="94" spans="1:4" ht="24.95" customHeight="1" x14ac:dyDescent="0.3">
      <c r="A94" s="3" t="s">
        <v>191</v>
      </c>
      <c r="B94" s="21">
        <v>14</v>
      </c>
      <c r="C94" s="21">
        <v>5</v>
      </c>
      <c r="D94" s="3" t="s">
        <v>76</v>
      </c>
    </row>
    <row r="95" spans="1:4" ht="24.95" customHeight="1" x14ac:dyDescent="0.3">
      <c r="A95" s="3" t="s">
        <v>193</v>
      </c>
      <c r="B95" s="21">
        <v>9.9</v>
      </c>
      <c r="C95" s="21">
        <v>397</v>
      </c>
      <c r="D95" s="3" t="s">
        <v>77</v>
      </c>
    </row>
    <row r="96" spans="1:4" ht="24.95" customHeight="1" x14ac:dyDescent="0.3">
      <c r="A96" s="3" t="s">
        <v>202</v>
      </c>
      <c r="B96" s="21">
        <v>6.9</v>
      </c>
      <c r="C96" s="21">
        <v>1000</v>
      </c>
      <c r="D96" s="3" t="s">
        <v>77</v>
      </c>
    </row>
    <row r="97" spans="1:4" ht="24.95" customHeight="1" x14ac:dyDescent="0.3">
      <c r="A97" s="3" t="s">
        <v>214</v>
      </c>
      <c r="B97" s="20">
        <v>15</v>
      </c>
      <c r="C97" s="20">
        <v>1</v>
      </c>
      <c r="D97" s="3" t="s">
        <v>76</v>
      </c>
    </row>
    <row r="98" spans="1:4" ht="24.95" customHeight="1" x14ac:dyDescent="0.3">
      <c r="A98" s="3" t="s">
        <v>215</v>
      </c>
      <c r="B98" s="20">
        <v>20</v>
      </c>
      <c r="C98" s="20">
        <v>1</v>
      </c>
      <c r="D98" s="3" t="s">
        <v>76</v>
      </c>
    </row>
    <row r="99" spans="1:4" ht="24.95" customHeight="1" x14ac:dyDescent="0.3">
      <c r="A99" s="3" t="s">
        <v>216</v>
      </c>
      <c r="B99" s="21">
        <v>30</v>
      </c>
      <c r="C99" s="21">
        <v>1</v>
      </c>
      <c r="D99" s="3" t="s">
        <v>76</v>
      </c>
    </row>
    <row r="100" spans="1:4" ht="24.95" customHeight="1" x14ac:dyDescent="0.3">
      <c r="A100" s="3" t="s">
        <v>220</v>
      </c>
      <c r="B100" s="21">
        <v>12</v>
      </c>
      <c r="C100" s="21">
        <v>400</v>
      </c>
      <c r="D100" s="3" t="s">
        <v>4</v>
      </c>
    </row>
    <row r="101" spans="1:4" ht="24.95" customHeight="1" x14ac:dyDescent="0.3">
      <c r="A101" s="3" t="s">
        <v>221</v>
      </c>
      <c r="B101" s="21">
        <v>15.9</v>
      </c>
      <c r="C101" s="21">
        <v>500</v>
      </c>
      <c r="D101" s="3" t="s">
        <v>4</v>
      </c>
    </row>
    <row r="102" spans="1:4" ht="24.95" customHeight="1" x14ac:dyDescent="0.3">
      <c r="A102" s="3" t="s">
        <v>224</v>
      </c>
      <c r="B102" s="21">
        <v>59.9</v>
      </c>
      <c r="C102" s="21">
        <v>1000</v>
      </c>
      <c r="D102" s="3" t="s">
        <v>4</v>
      </c>
    </row>
    <row r="103" spans="1:4" ht="24.95" customHeight="1" x14ac:dyDescent="0.3">
      <c r="A103" s="3" t="s">
        <v>226</v>
      </c>
      <c r="B103" s="21">
        <v>25</v>
      </c>
      <c r="C103" s="21">
        <v>1</v>
      </c>
      <c r="D103" s="3" t="s">
        <v>76</v>
      </c>
    </row>
  </sheetData>
  <dataValidations count="1">
    <dataValidation type="list" allowBlank="1" showInputMessage="1" showErrorMessage="1" sqref="D2:D103" xr:uid="{80EB06AB-19AB-4A47-ADA2-6478A304A77C}">
      <formula1>"גרם, מיליליטר, יחידות"</formula1>
    </dataValidation>
  </dataValidations>
  <hyperlinks>
    <hyperlink ref="G1" location="ראשי!A1" display="חזרה לתפריט" xr:uid="{A7D64701-2855-4A9C-A72F-0D25310E5168}"/>
  </hyperlinks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25F00-316A-4346-A900-39895307F69C}">
  <sheetPr>
    <tabColor theme="5"/>
  </sheetPr>
  <dimension ref="A1:F36"/>
  <sheetViews>
    <sheetView rightToLeft="1" topLeftCell="A27" workbookViewId="0">
      <selection activeCell="D37" sqref="A37:D37"/>
    </sheetView>
  </sheetViews>
  <sheetFormatPr defaultColWidth="15.85546875" defaultRowHeight="24.95" customHeight="1" x14ac:dyDescent="0.3"/>
  <cols>
    <col min="1" max="1" width="55" style="3" bestFit="1" customWidth="1"/>
    <col min="2" max="16384" width="15.85546875" style="3"/>
  </cols>
  <sheetData>
    <row r="1" spans="1:6" ht="24.95" customHeight="1" x14ac:dyDescent="0.3">
      <c r="A1" s="3" t="s">
        <v>17</v>
      </c>
      <c r="B1" s="3" t="s">
        <v>5</v>
      </c>
      <c r="C1" s="3" t="s">
        <v>2</v>
      </c>
      <c r="D1" s="3" t="s">
        <v>104</v>
      </c>
      <c r="F1" s="4" t="s">
        <v>27</v>
      </c>
    </row>
    <row r="2" spans="1:6" ht="24.95" customHeight="1" x14ac:dyDescent="0.3">
      <c r="A2" s="3" t="s">
        <v>79</v>
      </c>
      <c r="B2" s="3">
        <v>80</v>
      </c>
      <c r="C2" s="3">
        <v>10</v>
      </c>
      <c r="D2" s="22" t="s">
        <v>91</v>
      </c>
    </row>
    <row r="3" spans="1:6" ht="24.95" customHeight="1" x14ac:dyDescent="0.3">
      <c r="A3" s="3" t="s">
        <v>80</v>
      </c>
      <c r="B3" s="3">
        <v>45</v>
      </c>
      <c r="C3" s="3">
        <v>10</v>
      </c>
      <c r="D3" s="22" t="s">
        <v>91</v>
      </c>
    </row>
    <row r="4" spans="1:6" ht="24.95" customHeight="1" x14ac:dyDescent="0.3">
      <c r="A4" s="3" t="s">
        <v>81</v>
      </c>
      <c r="B4" s="3">
        <v>45</v>
      </c>
      <c r="C4" s="3">
        <v>10</v>
      </c>
      <c r="D4" s="22" t="s">
        <v>91</v>
      </c>
    </row>
    <row r="5" spans="1:6" ht="24.95" customHeight="1" x14ac:dyDescent="0.3">
      <c r="A5" s="3" t="s">
        <v>82</v>
      </c>
      <c r="B5" s="3">
        <v>20</v>
      </c>
      <c r="C5" s="3">
        <v>10</v>
      </c>
      <c r="D5" s="22" t="s">
        <v>91</v>
      </c>
    </row>
    <row r="6" spans="1:6" ht="24.95" customHeight="1" x14ac:dyDescent="0.3">
      <c r="A6" s="3" t="s">
        <v>83</v>
      </c>
      <c r="B6" s="3">
        <v>65</v>
      </c>
      <c r="C6" s="3">
        <v>10</v>
      </c>
      <c r="D6" s="22" t="s">
        <v>91</v>
      </c>
    </row>
    <row r="7" spans="1:6" ht="24.95" customHeight="1" x14ac:dyDescent="0.3">
      <c r="A7" s="3" t="s">
        <v>84</v>
      </c>
      <c r="B7" s="3">
        <v>80</v>
      </c>
      <c r="C7" s="3">
        <v>10</v>
      </c>
      <c r="D7" s="22" t="s">
        <v>91</v>
      </c>
    </row>
    <row r="8" spans="1:6" ht="24.95" customHeight="1" x14ac:dyDescent="0.3">
      <c r="A8" s="3" t="s">
        <v>85</v>
      </c>
      <c r="B8" s="3">
        <v>10</v>
      </c>
      <c r="C8" s="3">
        <v>40</v>
      </c>
      <c r="D8" s="22" t="s">
        <v>91</v>
      </c>
    </row>
    <row r="9" spans="1:6" ht="24.95" customHeight="1" x14ac:dyDescent="0.3">
      <c r="A9" s="3" t="s">
        <v>86</v>
      </c>
      <c r="B9" s="3">
        <v>25</v>
      </c>
      <c r="C9" s="3">
        <v>10</v>
      </c>
      <c r="D9" s="22" t="s">
        <v>92</v>
      </c>
    </row>
    <row r="10" spans="1:6" ht="24.95" customHeight="1" x14ac:dyDescent="0.3">
      <c r="A10" s="3" t="s">
        <v>87</v>
      </c>
      <c r="B10" s="3">
        <v>115</v>
      </c>
      <c r="C10" s="3">
        <v>50</v>
      </c>
      <c r="D10" s="22" t="s">
        <v>92</v>
      </c>
    </row>
    <row r="11" spans="1:6" ht="24.95" customHeight="1" x14ac:dyDescent="0.3">
      <c r="A11" s="3" t="s">
        <v>88</v>
      </c>
      <c r="B11" s="3">
        <v>45</v>
      </c>
      <c r="C11" s="3">
        <v>5</v>
      </c>
      <c r="D11" s="22" t="s">
        <v>92</v>
      </c>
    </row>
    <row r="12" spans="1:6" ht="24.95" customHeight="1" x14ac:dyDescent="0.3">
      <c r="A12" s="3" t="s">
        <v>89</v>
      </c>
      <c r="B12" s="3">
        <v>45</v>
      </c>
      <c r="C12" s="3">
        <v>10</v>
      </c>
      <c r="D12" s="22" t="s">
        <v>92</v>
      </c>
    </row>
    <row r="13" spans="1:6" ht="24.95" customHeight="1" x14ac:dyDescent="0.3">
      <c r="A13" s="3" t="s">
        <v>90</v>
      </c>
      <c r="B13" s="3">
        <v>40</v>
      </c>
      <c r="C13" s="3">
        <v>5</v>
      </c>
      <c r="D13" s="22" t="s">
        <v>92</v>
      </c>
    </row>
    <row r="14" spans="1:6" ht="24.95" customHeight="1" x14ac:dyDescent="0.3">
      <c r="A14" s="3" t="s">
        <v>93</v>
      </c>
      <c r="B14" s="3">
        <v>100</v>
      </c>
      <c r="C14" s="3">
        <v>20</v>
      </c>
      <c r="D14" s="22" t="s">
        <v>92</v>
      </c>
    </row>
    <row r="15" spans="1:6" ht="24.95" customHeight="1" x14ac:dyDescent="0.3">
      <c r="A15" s="3" t="s">
        <v>94</v>
      </c>
      <c r="B15" s="3">
        <v>50</v>
      </c>
      <c r="C15" s="3">
        <v>10</v>
      </c>
      <c r="D15" s="22" t="s">
        <v>92</v>
      </c>
    </row>
    <row r="16" spans="1:6" ht="24.95" customHeight="1" x14ac:dyDescent="0.3">
      <c r="A16" s="3" t="s">
        <v>235</v>
      </c>
      <c r="B16" s="3">
        <v>110</v>
      </c>
      <c r="C16" s="3">
        <v>100</v>
      </c>
      <c r="D16" s="22" t="s">
        <v>92</v>
      </c>
    </row>
    <row r="17" spans="1:4" ht="24.95" customHeight="1" x14ac:dyDescent="0.3">
      <c r="A17" s="3" t="s">
        <v>95</v>
      </c>
      <c r="B17" s="3">
        <v>110</v>
      </c>
      <c r="C17" s="3">
        <v>100</v>
      </c>
      <c r="D17" s="22" t="s">
        <v>92</v>
      </c>
    </row>
    <row r="18" spans="1:4" ht="24.95" customHeight="1" x14ac:dyDescent="0.3">
      <c r="A18" s="3" t="s">
        <v>96</v>
      </c>
      <c r="B18" s="3">
        <v>105</v>
      </c>
      <c r="C18" s="3">
        <v>30</v>
      </c>
      <c r="D18" s="22" t="s">
        <v>92</v>
      </c>
    </row>
    <row r="19" spans="1:4" ht="24.95" customHeight="1" x14ac:dyDescent="0.3">
      <c r="A19" s="3" t="s">
        <v>99</v>
      </c>
      <c r="B19" s="3">
        <v>55</v>
      </c>
      <c r="C19" s="3">
        <v>50</v>
      </c>
      <c r="D19" s="22" t="s">
        <v>102</v>
      </c>
    </row>
    <row r="20" spans="1:4" ht="24.95" customHeight="1" x14ac:dyDescent="0.3">
      <c r="A20" s="3" t="s">
        <v>100</v>
      </c>
      <c r="B20" s="3">
        <v>85</v>
      </c>
      <c r="C20" s="3">
        <v>50</v>
      </c>
      <c r="D20" s="22" t="s">
        <v>102</v>
      </c>
    </row>
    <row r="21" spans="1:4" ht="24.95" customHeight="1" x14ac:dyDescent="0.3">
      <c r="A21" s="3" t="s">
        <v>101</v>
      </c>
      <c r="B21" s="3">
        <v>40</v>
      </c>
      <c r="C21" s="3">
        <v>10</v>
      </c>
      <c r="D21" s="22" t="s">
        <v>102</v>
      </c>
    </row>
    <row r="22" spans="1:4" ht="24.95" customHeight="1" x14ac:dyDescent="0.3">
      <c r="A22" s="3" t="s">
        <v>105</v>
      </c>
      <c r="B22" s="3">
        <v>65</v>
      </c>
      <c r="C22" s="3">
        <v>20</v>
      </c>
      <c r="D22" s="22" t="s">
        <v>106</v>
      </c>
    </row>
    <row r="23" spans="1:4" ht="24.95" customHeight="1" x14ac:dyDescent="0.3">
      <c r="A23" s="3" t="s">
        <v>107</v>
      </c>
      <c r="B23" s="3">
        <v>150</v>
      </c>
      <c r="C23" s="3">
        <v>50</v>
      </c>
      <c r="D23" s="22" t="s">
        <v>106</v>
      </c>
    </row>
    <row r="24" spans="1:4" ht="24.95" customHeight="1" x14ac:dyDescent="0.3">
      <c r="A24" s="3" t="s">
        <v>108</v>
      </c>
      <c r="B24" s="3">
        <v>30</v>
      </c>
      <c r="C24" s="3">
        <v>50</v>
      </c>
      <c r="D24" s="22" t="s">
        <v>106</v>
      </c>
    </row>
    <row r="25" spans="1:4" ht="24.95" customHeight="1" x14ac:dyDescent="0.3">
      <c r="A25" s="3" t="s">
        <v>109</v>
      </c>
      <c r="B25" s="3">
        <v>75</v>
      </c>
      <c r="C25" s="3">
        <v>15</v>
      </c>
      <c r="D25" s="22" t="s">
        <v>106</v>
      </c>
    </row>
    <row r="26" spans="1:4" ht="24.95" customHeight="1" x14ac:dyDescent="0.3">
      <c r="A26" s="3" t="s">
        <v>110</v>
      </c>
      <c r="B26" s="3">
        <v>45</v>
      </c>
      <c r="C26" s="3">
        <v>10</v>
      </c>
      <c r="D26" s="22" t="s">
        <v>106</v>
      </c>
    </row>
    <row r="27" spans="1:4" ht="24.95" customHeight="1" x14ac:dyDescent="0.3">
      <c r="A27" s="3" t="s">
        <v>111</v>
      </c>
      <c r="B27" s="3">
        <v>220</v>
      </c>
      <c r="C27" s="3">
        <v>40</v>
      </c>
      <c r="D27" s="22" t="s">
        <v>106</v>
      </c>
    </row>
    <row r="28" spans="1:4" ht="24.95" customHeight="1" x14ac:dyDescent="0.3">
      <c r="A28" s="3" t="s">
        <v>112</v>
      </c>
      <c r="B28" s="3">
        <v>85</v>
      </c>
      <c r="C28" s="3">
        <v>10</v>
      </c>
      <c r="D28" s="22" t="s">
        <v>106</v>
      </c>
    </row>
    <row r="29" spans="1:4" ht="24.95" customHeight="1" x14ac:dyDescent="0.3">
      <c r="A29" s="3" t="s">
        <v>113</v>
      </c>
      <c r="B29" s="3">
        <v>70</v>
      </c>
      <c r="C29" s="3">
        <v>20</v>
      </c>
      <c r="D29" s="22" t="s">
        <v>106</v>
      </c>
    </row>
    <row r="30" spans="1:4" ht="24.95" customHeight="1" x14ac:dyDescent="0.3">
      <c r="A30" s="3" t="s">
        <v>114</v>
      </c>
      <c r="B30" s="3">
        <v>130</v>
      </c>
      <c r="C30" s="3">
        <v>24</v>
      </c>
      <c r="D30" s="22" t="s">
        <v>106</v>
      </c>
    </row>
    <row r="31" spans="1:4" ht="24.95" customHeight="1" x14ac:dyDescent="0.3">
      <c r="A31" s="3" t="s">
        <v>115</v>
      </c>
      <c r="B31" s="3">
        <v>20</v>
      </c>
      <c r="C31" s="3">
        <v>10</v>
      </c>
      <c r="D31" s="22" t="s">
        <v>106</v>
      </c>
    </row>
    <row r="32" spans="1:4" ht="24.95" customHeight="1" x14ac:dyDescent="0.3">
      <c r="A32" s="3" t="s">
        <v>126</v>
      </c>
      <c r="B32" s="3">
        <v>198</v>
      </c>
      <c r="C32" s="3">
        <v>1000</v>
      </c>
      <c r="D32" s="22" t="s">
        <v>124</v>
      </c>
    </row>
    <row r="33" spans="1:4" ht="24.95" customHeight="1" x14ac:dyDescent="0.3">
      <c r="A33" s="3" t="s">
        <v>125</v>
      </c>
      <c r="B33" s="3">
        <v>15</v>
      </c>
      <c r="C33" s="3">
        <v>50</v>
      </c>
      <c r="D33" s="22" t="s">
        <v>124</v>
      </c>
    </row>
    <row r="34" spans="1:4" ht="24.95" customHeight="1" x14ac:dyDescent="0.3">
      <c r="A34" s="3" t="s">
        <v>127</v>
      </c>
      <c r="B34" s="3">
        <v>15</v>
      </c>
      <c r="C34" s="3">
        <v>100</v>
      </c>
      <c r="D34" s="22" t="s">
        <v>124</v>
      </c>
    </row>
    <row r="35" spans="1:4" ht="24.95" customHeight="1" x14ac:dyDescent="0.3">
      <c r="A35" s="3" t="s">
        <v>133</v>
      </c>
      <c r="B35" s="3">
        <v>15</v>
      </c>
      <c r="C35" s="3">
        <v>50</v>
      </c>
      <c r="D35" s="22" t="s">
        <v>91</v>
      </c>
    </row>
    <row r="36" spans="1:4" ht="24.95" customHeight="1" x14ac:dyDescent="0.3">
      <c r="A36" s="3" t="s">
        <v>233</v>
      </c>
      <c r="B36" s="3">
        <v>15</v>
      </c>
      <c r="C36" s="3">
        <v>10</v>
      </c>
      <c r="D36" s="22" t="s">
        <v>234</v>
      </c>
    </row>
  </sheetData>
  <hyperlinks>
    <hyperlink ref="F1" location="ראשי!A1" display="חזרה לתפריט" xr:uid="{90FAF865-F21D-4523-AF9D-715C00D6937A}"/>
  </hyperlink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B500A-1B83-449E-ADC2-DD57DE8C4330}">
  <sheetPr>
    <tabColor theme="9"/>
  </sheetPr>
  <dimension ref="A1:T5"/>
  <sheetViews>
    <sheetView rightToLeft="1" workbookViewId="0">
      <selection activeCell="O4" sqref="O4"/>
    </sheetView>
  </sheetViews>
  <sheetFormatPr defaultColWidth="13.85546875" defaultRowHeight="24.95" customHeight="1" x14ac:dyDescent="0.3"/>
  <cols>
    <col min="1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 t="e">
        <f>ROUNDUP(SUM(Recipe[עלות למתכון]),2)</f>
        <v>#N/A</v>
      </c>
      <c r="F1" s="5" t="s">
        <v>9</v>
      </c>
      <c r="J1" s="5" t="s">
        <v>21</v>
      </c>
      <c r="O1" s="5" t="s">
        <v>20</v>
      </c>
      <c r="Q1" s="8" t="e">
        <f>SUM(SinglePack[עלות])</f>
        <v>#N/A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C3" s="10" t="e">
        <f>VLOOKUP(Recipe[[#This Row],[חומר גלם]],'חומרי גלם'!A:D,4,0)</f>
        <v>#N/A</v>
      </c>
      <c r="D3" s="11" t="e">
        <f>ROUNDUP(Recipe[[#This Row],[כמות במתכון]]*VLOOKUP(Recipe[[#This Row],[חומר גלם]],'חומרי גלם'!A:D,2,0)/VLOOKUP(Recipe[[#This Row],[חומר גלם]],'חומרי גלם'!A:D,3,0),2)</f>
        <v>#N/A</v>
      </c>
      <c r="H3" s="10">
        <f>Work[[#This Row],[עלות לשעת עבודה]]*Work[[#This Row],[שעות עבודה]]</f>
        <v>0</v>
      </c>
      <c r="J3" s="25"/>
      <c r="K3" s="12" t="s">
        <v>14</v>
      </c>
      <c r="L3" s="13" t="s">
        <v>9</v>
      </c>
      <c r="M3" s="14" t="s">
        <v>15</v>
      </c>
      <c r="O3" s="3" t="s">
        <v>109</v>
      </c>
      <c r="P3" s="3">
        <v>1</v>
      </c>
      <c r="Q3" s="11">
        <f>ROUNDUP(VLOOKUP(SinglePack[[#This Row],[מוצר]],אריזות!A:C,2,0)/VLOOKUP(SinglePack[[#This Row],[מוצר]],אריזות!A:C,3,0)*SinglePack[[#This Row],[כמות]],2)</f>
        <v>5</v>
      </c>
      <c r="S3" s="15" t="e">
        <f>Q1+M4</f>
        <v>#N/A</v>
      </c>
    </row>
    <row r="4" spans="1:20" ht="24.95" customHeight="1" thickTop="1" x14ac:dyDescent="0.3">
      <c r="C4" s="10" t="e">
        <f>VLOOKUP(Recipe[[#This Row],[חומר גלם]],'חומרי גלם'!A:D,4,0)</f>
        <v>#N/A</v>
      </c>
      <c r="D4" s="11" t="e">
        <f>ROUNDUP(Recipe[[#This Row],[כמות במתכון]]*VLOOKUP(Recipe[[#This Row],[חומר גלם]],'חומרי גלם'!A:D,2,0)/VLOOKUP(Recipe[[#This Row],[חומר גלם]],'חומרי גלם'!A:D,3,0),2)</f>
        <v>#N/A</v>
      </c>
      <c r="J4" s="16"/>
      <c r="K4" s="17" t="e">
        <f>ROUNDUP(D1/J4,2)</f>
        <v>#N/A</v>
      </c>
      <c r="L4" s="17" t="e" cm="1">
        <f t="array" ref="L4">ROUNDUP(Work[עלות עבודה]/J4,2)</f>
        <v>#DIV/0!</v>
      </c>
      <c r="M4" s="8" t="e">
        <f>L4+K4</f>
        <v>#DIV/0!</v>
      </c>
      <c r="Q4" s="11" t="e">
        <f>ROUNDUP(VLOOKUP(SinglePack[[#This Row],[מוצר]],אריזות!A:C,2,0)/VLOOKUP(SinglePack[[#This Row],[מוצר]],אריזות!A:C,3,0)*SinglePack[[#This Row],[כמות]],2)</f>
        <v>#N/A</v>
      </c>
    </row>
    <row r="5" spans="1:20" ht="24.95" customHeight="1" x14ac:dyDescent="0.3">
      <c r="C5" s="10" t="e">
        <f>VLOOKUP(Recipe[[#This Row],[חומר גלם]],'חומרי גלם'!A:D,4,0)</f>
        <v>#N/A</v>
      </c>
      <c r="D5" s="11" t="e">
        <f>ROUNDUP(Recipe[[#This Row],[כמות במתכון]]*VLOOKUP(Recipe[[#This Row],[חומר גלם]],'חומרי גלם'!A:D,2,0)/VLOOKUP(Recipe[[#This Row],[חומר גלם]],'חומרי גלם'!A:D,3,0),2)</f>
        <v>#N/A</v>
      </c>
      <c r="Q5" s="11" t="e">
        <f>ROUNDUP(VLOOKUP(SinglePack[[#This Row],[מוצר]],אריזות!A:C,2,0)/VLOOKUP(SinglePack[[#This Row],[מוצר]],אריזות!A:C,3,0)*SinglePack[[#This Row],[כמות]],2)</f>
        <v>#N/A</v>
      </c>
    </row>
  </sheetData>
  <mergeCells count="2">
    <mergeCell ref="K2:M2"/>
    <mergeCell ref="J2:J3"/>
  </mergeCells>
  <dataValidations count="2">
    <dataValidation type="list" allowBlank="1" showInputMessage="1" showErrorMessage="1" sqref="A3:A5" xr:uid="{E9DD3569-8252-4953-B4D4-ED31AA5FDCBE}">
      <formula1>INDIRECT("Ingredients[חומר גלם]")</formula1>
    </dataValidation>
    <dataValidation type="list" allowBlank="1" showInputMessage="1" showErrorMessage="1" sqref="O3:O5" xr:uid="{023C8611-3772-45F6-BBFA-9766E476BC70}">
      <formula1>INDIRECT("Packages[מוצר]")</formula1>
    </dataValidation>
  </dataValidations>
  <hyperlinks>
    <hyperlink ref="T1" location="ראשי!A1" display="חזרה לתפריט" xr:uid="{9C2CD7F2-9A88-4D98-86BF-ECA8588A4385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17DE-6E89-4CB7-806B-395B1C5A2413}">
  <sheetPr>
    <tabColor theme="7"/>
  </sheetPr>
  <dimension ref="A1:F48"/>
  <sheetViews>
    <sheetView rightToLeft="1" topLeftCell="A32" workbookViewId="0">
      <selection activeCell="A49" sqref="A49"/>
    </sheetView>
  </sheetViews>
  <sheetFormatPr defaultColWidth="15.85546875" defaultRowHeight="24.95" customHeight="1" x14ac:dyDescent="0.3"/>
  <cols>
    <col min="1" max="1" width="31.42578125" style="3" bestFit="1" customWidth="1"/>
    <col min="2" max="16384" width="15.85546875" style="3"/>
  </cols>
  <sheetData>
    <row r="1" spans="1:5" ht="24.95" customHeight="1" x14ac:dyDescent="0.3">
      <c r="A1" s="3" t="s">
        <v>17</v>
      </c>
      <c r="B1" s="3" t="s">
        <v>16</v>
      </c>
      <c r="C1" s="3" t="s">
        <v>103</v>
      </c>
      <c r="D1" s="3" t="s">
        <v>204</v>
      </c>
      <c r="E1" s="4" t="s">
        <v>27</v>
      </c>
    </row>
    <row r="2" spans="1:5" ht="24.95" customHeight="1" x14ac:dyDescent="0.3">
      <c r="A2" s="3" t="s">
        <v>116</v>
      </c>
      <c r="B2" s="3">
        <v>4.01</v>
      </c>
    </row>
    <row r="3" spans="1:5" ht="24.95" customHeight="1" x14ac:dyDescent="0.3">
      <c r="A3" s="3" t="s">
        <v>144</v>
      </c>
      <c r="B3" s="3">
        <v>5.73</v>
      </c>
    </row>
    <row r="4" spans="1:5" ht="24.95" customHeight="1" x14ac:dyDescent="0.3">
      <c r="A4" s="3" t="s">
        <v>151</v>
      </c>
      <c r="B4" s="3">
        <v>120.19</v>
      </c>
    </row>
    <row r="5" spans="1:5" ht="24.95" customHeight="1" x14ac:dyDescent="0.3">
      <c r="A5" s="3" t="s">
        <v>157</v>
      </c>
      <c r="B5" s="3">
        <v>66.739999999999995</v>
      </c>
    </row>
    <row r="6" spans="1:5" ht="24.95" customHeight="1" x14ac:dyDescent="0.3">
      <c r="A6" s="3" t="s">
        <v>158</v>
      </c>
      <c r="B6" s="3">
        <v>2.16</v>
      </c>
    </row>
    <row r="7" spans="1:5" ht="24.95" customHeight="1" x14ac:dyDescent="0.3">
      <c r="A7" s="3" t="s">
        <v>159</v>
      </c>
      <c r="B7" s="3">
        <v>191.87</v>
      </c>
    </row>
    <row r="8" spans="1:5" ht="24.95" customHeight="1" x14ac:dyDescent="0.3">
      <c r="A8" s="3" t="s">
        <v>162</v>
      </c>
      <c r="B8" s="3">
        <v>4.87</v>
      </c>
    </row>
    <row r="9" spans="1:5" ht="24.95" customHeight="1" x14ac:dyDescent="0.3">
      <c r="A9" s="3" t="s">
        <v>163</v>
      </c>
      <c r="B9" s="3">
        <v>7.32</v>
      </c>
    </row>
    <row r="10" spans="1:5" ht="24.95" customHeight="1" x14ac:dyDescent="0.3">
      <c r="A10" s="3" t="s">
        <v>169</v>
      </c>
      <c r="B10" s="3">
        <v>5.17</v>
      </c>
    </row>
    <row r="11" spans="1:5" ht="24.95" customHeight="1" x14ac:dyDescent="0.3">
      <c r="A11" s="3" t="s">
        <v>170</v>
      </c>
      <c r="B11" s="3">
        <v>8.59</v>
      </c>
    </row>
    <row r="12" spans="1:5" ht="24.95" customHeight="1" x14ac:dyDescent="0.3">
      <c r="A12" s="3" t="s">
        <v>171</v>
      </c>
      <c r="B12" s="3">
        <v>4.0999999999999996</v>
      </c>
    </row>
    <row r="13" spans="1:5" ht="24.95" customHeight="1" x14ac:dyDescent="0.3">
      <c r="A13" s="3" t="s">
        <v>172</v>
      </c>
      <c r="B13" s="3">
        <v>142</v>
      </c>
    </row>
    <row r="14" spans="1:5" ht="24.95" customHeight="1" x14ac:dyDescent="0.3">
      <c r="A14" s="3" t="s">
        <v>173</v>
      </c>
      <c r="B14" s="3">
        <v>62.21</v>
      </c>
    </row>
    <row r="15" spans="1:5" ht="24.95" customHeight="1" x14ac:dyDescent="0.3">
      <c r="A15" s="3" t="s">
        <v>174</v>
      </c>
      <c r="B15" s="3">
        <v>3.57</v>
      </c>
    </row>
    <row r="16" spans="1:5" ht="24.95" customHeight="1" x14ac:dyDescent="0.3">
      <c r="A16" s="3" t="s">
        <v>175</v>
      </c>
      <c r="B16" s="3">
        <v>3.35</v>
      </c>
    </row>
    <row r="17" spans="1:6" ht="24.95" customHeight="1" x14ac:dyDescent="0.3">
      <c r="A17" s="3" t="s">
        <v>179</v>
      </c>
      <c r="B17" s="3">
        <v>6.01</v>
      </c>
    </row>
    <row r="18" spans="1:6" ht="24.95" customHeight="1" x14ac:dyDescent="0.3">
      <c r="A18" s="3" t="s">
        <v>181</v>
      </c>
      <c r="B18" s="3">
        <v>62.07</v>
      </c>
    </row>
    <row r="19" spans="1:6" ht="24.95" customHeight="1" x14ac:dyDescent="0.3">
      <c r="A19" s="3" t="s">
        <v>183</v>
      </c>
      <c r="B19" s="3">
        <v>53.34</v>
      </c>
    </row>
    <row r="20" spans="1:6" ht="24.95" customHeight="1" x14ac:dyDescent="0.3">
      <c r="A20" s="3" t="s">
        <v>184</v>
      </c>
      <c r="B20" s="3">
        <v>40.46</v>
      </c>
    </row>
    <row r="21" spans="1:6" ht="24.95" customHeight="1" x14ac:dyDescent="0.3">
      <c r="A21" s="3" t="s">
        <v>186</v>
      </c>
      <c r="B21" s="3">
        <v>157.04</v>
      </c>
      <c r="C21" s="3">
        <v>250</v>
      </c>
    </row>
    <row r="22" spans="1:6" ht="24.95" customHeight="1" x14ac:dyDescent="0.3">
      <c r="A22" s="3" t="s">
        <v>187</v>
      </c>
      <c r="B22" s="3">
        <v>152.81</v>
      </c>
      <c r="C22" s="3">
        <v>200</v>
      </c>
    </row>
    <row r="23" spans="1:6" ht="24.95" customHeight="1" x14ac:dyDescent="0.3">
      <c r="A23" s="3" t="s">
        <v>189</v>
      </c>
      <c r="B23" s="3">
        <v>12.45</v>
      </c>
      <c r="C23" s="3" t="s">
        <v>206</v>
      </c>
      <c r="D23" s="3" t="s">
        <v>205</v>
      </c>
    </row>
    <row r="24" spans="1:6" ht="24.95" customHeight="1" x14ac:dyDescent="0.3">
      <c r="A24" s="3" t="s">
        <v>190</v>
      </c>
      <c r="B24" s="3">
        <v>262.58</v>
      </c>
      <c r="C24" s="3" t="s">
        <v>208</v>
      </c>
      <c r="F24" s="26" t="s">
        <v>211</v>
      </c>
    </row>
    <row r="25" spans="1:6" ht="24.95" customHeight="1" x14ac:dyDescent="0.3">
      <c r="A25" s="3" t="s">
        <v>192</v>
      </c>
      <c r="B25" s="3">
        <v>24.88</v>
      </c>
      <c r="C25" s="3" t="s">
        <v>207</v>
      </c>
      <c r="F25" s="26"/>
    </row>
    <row r="26" spans="1:6" ht="24.95" customHeight="1" x14ac:dyDescent="0.3">
      <c r="A26" s="3" t="s">
        <v>212</v>
      </c>
      <c r="B26" s="3">
        <v>8.26</v>
      </c>
      <c r="C26" s="3" t="s">
        <v>210</v>
      </c>
      <c r="D26" s="3" t="s">
        <v>213</v>
      </c>
      <c r="F26" s="26"/>
    </row>
    <row r="27" spans="1:6" ht="24.95" customHeight="1" x14ac:dyDescent="0.3">
      <c r="A27" s="3" t="s">
        <v>194</v>
      </c>
      <c r="B27" s="3">
        <v>4.25</v>
      </c>
      <c r="C27" s="3">
        <v>6</v>
      </c>
      <c r="D27" s="3" t="s">
        <v>203</v>
      </c>
      <c r="E27" s="3" t="s">
        <v>209</v>
      </c>
      <c r="F27" s="26"/>
    </row>
    <row r="28" spans="1:6" ht="24.95" customHeight="1" x14ac:dyDescent="0.3">
      <c r="A28" s="3" t="s">
        <v>195</v>
      </c>
      <c r="B28" s="3">
        <v>35.96</v>
      </c>
    </row>
    <row r="29" spans="1:6" ht="24.95" customHeight="1" x14ac:dyDescent="0.3">
      <c r="A29" s="3" t="s">
        <v>196</v>
      </c>
      <c r="B29" s="3">
        <v>274.54000000000002</v>
      </c>
    </row>
    <row r="30" spans="1:6" ht="24.95" customHeight="1" x14ac:dyDescent="0.3">
      <c r="A30" s="3" t="s">
        <v>197</v>
      </c>
      <c r="B30" s="3">
        <v>276.16000000000003</v>
      </c>
    </row>
    <row r="31" spans="1:6" ht="24.95" customHeight="1" x14ac:dyDescent="0.3">
      <c r="A31" s="3" t="s">
        <v>198</v>
      </c>
      <c r="B31" s="3">
        <v>278.01</v>
      </c>
    </row>
    <row r="32" spans="1:6" ht="24.95" customHeight="1" x14ac:dyDescent="0.3">
      <c r="A32" s="3" t="s">
        <v>199</v>
      </c>
      <c r="B32" s="3">
        <v>71.37</v>
      </c>
    </row>
    <row r="33" spans="1:2" ht="24.95" customHeight="1" x14ac:dyDescent="0.3">
      <c r="A33" s="3" t="s">
        <v>200</v>
      </c>
      <c r="B33" s="3">
        <v>61.51</v>
      </c>
    </row>
    <row r="34" spans="1:2" ht="24.95" customHeight="1" x14ac:dyDescent="0.3">
      <c r="A34" s="3" t="s">
        <v>201</v>
      </c>
      <c r="B34" s="3">
        <v>58.69</v>
      </c>
    </row>
    <row r="35" spans="1:2" ht="24.95" customHeight="1" x14ac:dyDescent="0.3">
      <c r="A35" s="3" t="s">
        <v>217</v>
      </c>
      <c r="B35" s="3">
        <v>1.82</v>
      </c>
    </row>
    <row r="36" spans="1:2" ht="24.95" customHeight="1" x14ac:dyDescent="0.3">
      <c r="A36" s="3" t="s">
        <v>218</v>
      </c>
      <c r="B36" s="3">
        <v>1.86</v>
      </c>
    </row>
    <row r="37" spans="1:2" ht="24.95" customHeight="1" x14ac:dyDescent="0.3">
      <c r="A37" s="3" t="s">
        <v>219</v>
      </c>
      <c r="B37" s="3">
        <v>2.08</v>
      </c>
    </row>
    <row r="38" spans="1:2" ht="24.95" customHeight="1" x14ac:dyDescent="0.3">
      <c r="A38" s="3" t="s">
        <v>232</v>
      </c>
      <c r="B38" s="22">
        <v>7.1</v>
      </c>
    </row>
    <row r="39" spans="1:2" ht="24.95" customHeight="1" x14ac:dyDescent="0.3">
      <c r="A39" s="3" t="s">
        <v>231</v>
      </c>
      <c r="B39" s="3">
        <v>5.6</v>
      </c>
    </row>
    <row r="40" spans="1:2" ht="24.95" customHeight="1" x14ac:dyDescent="0.3">
      <c r="A40" s="3" t="s">
        <v>222</v>
      </c>
      <c r="B40" s="3">
        <v>3.23</v>
      </c>
    </row>
    <row r="41" spans="1:2" ht="24.95" customHeight="1" x14ac:dyDescent="0.3">
      <c r="A41" s="3" t="s">
        <v>223</v>
      </c>
      <c r="B41" s="3">
        <v>3.54</v>
      </c>
    </row>
    <row r="42" spans="1:2" ht="24.95" customHeight="1" x14ac:dyDescent="0.3">
      <c r="A42" s="3" t="s">
        <v>225</v>
      </c>
      <c r="B42" s="3">
        <v>2.12</v>
      </c>
    </row>
    <row r="43" spans="1:2" ht="24.95" customHeight="1" x14ac:dyDescent="0.3">
      <c r="A43" s="3" t="s">
        <v>227</v>
      </c>
      <c r="B43" s="3">
        <v>2.99</v>
      </c>
    </row>
    <row r="44" spans="1:2" ht="24.95" customHeight="1" x14ac:dyDescent="0.3">
      <c r="A44" s="3" t="s">
        <v>228</v>
      </c>
      <c r="B44" s="3">
        <v>2.13</v>
      </c>
    </row>
    <row r="45" spans="1:2" ht="24.95" customHeight="1" x14ac:dyDescent="0.3">
      <c r="A45" s="3" t="s">
        <v>229</v>
      </c>
      <c r="B45" s="3">
        <v>3.04</v>
      </c>
    </row>
    <row r="46" spans="1:2" ht="24.95" customHeight="1" x14ac:dyDescent="0.3">
      <c r="A46" s="3" t="s">
        <v>214</v>
      </c>
      <c r="B46" s="3">
        <v>15</v>
      </c>
    </row>
    <row r="47" spans="1:2" ht="24.95" customHeight="1" x14ac:dyDescent="0.3">
      <c r="A47" s="3" t="s">
        <v>215</v>
      </c>
      <c r="B47" s="3">
        <v>20</v>
      </c>
    </row>
    <row r="48" spans="1:2" ht="24.95" customHeight="1" x14ac:dyDescent="0.3">
      <c r="A48" s="3" t="s">
        <v>216</v>
      </c>
      <c r="B48" s="3">
        <v>30</v>
      </c>
    </row>
  </sheetData>
  <mergeCells count="1">
    <mergeCell ref="F24:F27"/>
  </mergeCells>
  <phoneticPr fontId="7" type="noConversion"/>
  <hyperlinks>
    <hyperlink ref="E1" location="ראשי!A1" display="חזרה לתפריט" xr:uid="{B9D9DC43-F8D3-4DA0-AC10-B7BEAB4DAC2E}"/>
  </hyperlink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98978-2BF6-482F-8921-EF993702B279}">
  <sheetPr>
    <tabColor theme="8"/>
  </sheetPr>
  <dimension ref="A1:P10"/>
  <sheetViews>
    <sheetView rightToLeft="1" workbookViewId="0">
      <selection activeCell="E12" sqref="E12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SUM(Table6[עלות])</f>
        <v>0</v>
      </c>
      <c r="F1" s="5" t="s">
        <v>20</v>
      </c>
      <c r="H1" s="8">
        <f>SUM(Table7[עלות])</f>
        <v>0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0</v>
      </c>
    </row>
    <row r="3" spans="1:16" ht="24.95" customHeight="1" x14ac:dyDescent="0.3">
      <c r="C3" s="11"/>
      <c r="H3" s="11"/>
    </row>
    <row r="4" spans="1:16" ht="24.95" customHeight="1" x14ac:dyDescent="0.3">
      <c r="C4" s="11"/>
      <c r="H4" s="11"/>
    </row>
    <row r="5" spans="1:16" ht="24.95" customHeight="1" x14ac:dyDescent="0.3">
      <c r="C5" s="11"/>
    </row>
    <row r="6" spans="1:16" ht="24.95" customHeight="1" x14ac:dyDescent="0.3">
      <c r="C6" s="11"/>
    </row>
    <row r="7" spans="1:16" ht="24.95" customHeight="1" x14ac:dyDescent="0.3">
      <c r="C7" s="11"/>
    </row>
    <row r="8" spans="1:16" ht="24.95" customHeight="1" x14ac:dyDescent="0.3">
      <c r="C8" s="11"/>
    </row>
    <row r="9" spans="1:16" ht="24.95" customHeight="1" x14ac:dyDescent="0.3">
      <c r="C9" s="11"/>
    </row>
    <row r="10" spans="1:16" ht="24.95" customHeight="1" x14ac:dyDescent="0.3">
      <c r="C10" s="11"/>
    </row>
  </sheetData>
  <dataValidations count="2">
    <dataValidation type="list" allowBlank="1" showInputMessage="1" showErrorMessage="1" sqref="A3:A10" xr:uid="{1AC69B2A-2E8C-43C9-9A22-67A81B8F67A5}">
      <formula1>INDIRECT("Products[מוצר]")</formula1>
    </dataValidation>
    <dataValidation type="list" allowBlank="1" showInputMessage="1" showErrorMessage="1" sqref="F3:F4" xr:uid="{133B444D-4A65-40FC-AABD-7F7DD0A67FC1}">
      <formula1>INDIRECT("Packages[מוצר]")</formula1>
    </dataValidation>
  </dataValidations>
  <hyperlinks>
    <hyperlink ref="P1" location="ראשי!A1" display="חזרה לתפריט" xr:uid="{509C1717-8A04-419C-9A9F-B9F613482F3F}"/>
  </hyperlinks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B5AC9-7550-4B7A-A52B-D9397A01C3A6}">
  <sheetPr>
    <tabColor theme="8"/>
  </sheetPr>
  <dimension ref="A1:P11"/>
  <sheetViews>
    <sheetView rightToLeft="1" workbookViewId="0">
      <selection activeCell="H12" sqref="H12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42.710937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SUM(Table6139149151[עלות])</f>
        <v>171.86</v>
      </c>
      <c r="F1" s="5" t="s">
        <v>20</v>
      </c>
      <c r="H1" s="8">
        <f>SUM(Table7140150152[עלות])</f>
        <v>13.5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J2" s="5" t="s">
        <v>22</v>
      </c>
      <c r="K2" s="8">
        <f>ROUNDUP(H1+C1,2)</f>
        <v>185.36</v>
      </c>
    </row>
    <row r="3" spans="1:16" ht="24.95" customHeight="1" x14ac:dyDescent="0.3">
      <c r="A3" s="3" t="s">
        <v>225</v>
      </c>
      <c r="B3" s="3">
        <v>10</v>
      </c>
      <c r="C3" s="11">
        <f>VLOOKUP(Table6139149151[[#This Row],[מוצר]],מוצרים!A:B,2,0)*Table6139149151[[#This Row],[כמות במארז]]</f>
        <v>21.200000000000003</v>
      </c>
      <c r="F3" s="3" t="s">
        <v>88</v>
      </c>
      <c r="G3" s="3">
        <v>1</v>
      </c>
      <c r="H3" s="11">
        <f>ROUNDUP(VLOOKUP(Table7140150152[[#This Row],[מוצר]],אריזות!A:C,2,0)/VLOOKUP(Table7140150152[[#This Row],[מוצר]],אריזות!A:C,3,0)*Table7140150152[[#This Row],[כמות]],2)</f>
        <v>9</v>
      </c>
    </row>
    <row r="4" spans="1:16" ht="24.95" customHeight="1" x14ac:dyDescent="0.3">
      <c r="A4" s="3" t="s">
        <v>231</v>
      </c>
      <c r="B4" s="3">
        <v>1</v>
      </c>
      <c r="C4" s="11">
        <f>VLOOKUP(Table6139149151[[#This Row],[מוצר]],מוצרים!A:B,2,0)*Table6139149151[[#This Row],[כמות במארז]]</f>
        <v>5.6</v>
      </c>
      <c r="F4" s="3" t="s">
        <v>233</v>
      </c>
      <c r="G4" s="3">
        <v>3</v>
      </c>
      <c r="H4" s="11">
        <f>ROUNDUP(VLOOKUP(Table7140150152[[#This Row],[מוצר]],אריזות!A:C,2,0)/VLOOKUP(Table7140150152[[#This Row],[מוצר]],אריזות!A:C,3,0)*Table7140150152[[#This Row],[כמות]],2)</f>
        <v>4.5</v>
      </c>
    </row>
    <row r="5" spans="1:16" ht="24.95" customHeight="1" x14ac:dyDescent="0.3">
      <c r="A5" s="3" t="s">
        <v>222</v>
      </c>
      <c r="B5" s="3">
        <v>5</v>
      </c>
      <c r="C5" s="11">
        <f>VLOOKUP(Table6139149151[[#This Row],[מוצר]],מוצרים!A:B,2,0)*Table6139149151[[#This Row],[כמות במארז]]</f>
        <v>16.149999999999999</v>
      </c>
      <c r="G5" s="7"/>
      <c r="H5" s="3"/>
    </row>
    <row r="6" spans="1:16" ht="24.95" customHeight="1" x14ac:dyDescent="0.3">
      <c r="A6" s="3" t="s">
        <v>217</v>
      </c>
      <c r="B6" s="3">
        <v>8</v>
      </c>
      <c r="C6" s="11">
        <f>VLOOKUP(Table6139149151[[#This Row],[מוצר]],מוצרים!A:B,2,0)*Table6139149151[[#This Row],[כמות במארז]]</f>
        <v>14.56</v>
      </c>
      <c r="G6" s="7"/>
      <c r="H6" s="3"/>
    </row>
    <row r="7" spans="1:16" ht="24.95" customHeight="1" x14ac:dyDescent="0.3">
      <c r="A7" s="3" t="s">
        <v>218</v>
      </c>
      <c r="B7" s="3">
        <v>12</v>
      </c>
      <c r="C7" s="11">
        <f>VLOOKUP(Table6139149151[[#This Row],[מוצר]],מוצרים!A:B,2,0)*Table6139149151[[#This Row],[כמות במארז]]</f>
        <v>22.32</v>
      </c>
      <c r="G7" s="7"/>
      <c r="H7" s="3"/>
    </row>
    <row r="8" spans="1:16" ht="24.95" customHeight="1" x14ac:dyDescent="0.3">
      <c r="A8" s="3" t="s">
        <v>227</v>
      </c>
      <c r="B8" s="3">
        <v>12</v>
      </c>
      <c r="C8" s="11">
        <f>VLOOKUP(Table6139149151[[#This Row],[מוצר]],מוצרים!A:B,2,0)*Table6139149151[[#This Row],[כמות במארז]]</f>
        <v>35.880000000000003</v>
      </c>
      <c r="G8" s="7"/>
      <c r="H8" s="3"/>
    </row>
    <row r="9" spans="1:16" ht="24.95" customHeight="1" x14ac:dyDescent="0.3">
      <c r="A9" s="3" t="s">
        <v>223</v>
      </c>
      <c r="B9" s="3">
        <v>6</v>
      </c>
      <c r="C9" s="11">
        <f>VLOOKUP(Table6139149151[[#This Row],[מוצר]],מוצרים!A:B,2,0)*Table6139149151[[#This Row],[כמות במארז]]</f>
        <v>21.240000000000002</v>
      </c>
      <c r="G9" s="7"/>
      <c r="H9" s="3"/>
    </row>
    <row r="10" spans="1:16" ht="24.95" customHeight="1" x14ac:dyDescent="0.3">
      <c r="A10" s="3" t="s">
        <v>228</v>
      </c>
      <c r="B10" s="3">
        <v>7</v>
      </c>
      <c r="C10" s="11">
        <f>VLOOKUP(Table6139149151[[#This Row],[מוצר]],מוצרים!A:B,2,0)*Table6139149151[[#This Row],[כמות במארז]]</f>
        <v>14.91</v>
      </c>
      <c r="G10" s="7"/>
      <c r="H10" s="3"/>
    </row>
    <row r="11" spans="1:16" ht="24.95" customHeight="1" x14ac:dyDescent="0.3">
      <c r="A11" s="3" t="s">
        <v>215</v>
      </c>
      <c r="B11" s="3">
        <v>1</v>
      </c>
      <c r="C11" s="11">
        <f>VLOOKUP(Table6139149151[[#This Row],[מוצר]],מוצרים!A:B,2,0)*Table6139149151[[#This Row],[כמות במארז]]</f>
        <v>20</v>
      </c>
    </row>
  </sheetData>
  <dataValidations count="2">
    <dataValidation type="list" allowBlank="1" showInputMessage="1" showErrorMessage="1" sqref="A3:A11" xr:uid="{70A2B739-9375-48A1-8F1E-48E66E4FC2DA}">
      <formula1>INDIRECT("Products[מוצר]")</formula1>
    </dataValidation>
    <dataValidation type="list" allowBlank="1" showInputMessage="1" showErrorMessage="1" sqref="F3:F4" xr:uid="{0CC57A21-31F5-4C48-BDFF-BD3616B736A3}">
      <formula1>INDIRECT("Packages[מוצר]")</formula1>
    </dataValidation>
  </dataValidations>
  <hyperlinks>
    <hyperlink ref="P1" location="ראשי!A1" display="חזרה לתפריט" xr:uid="{E833275E-F4CA-4472-BB1F-C46E4464DE9F}"/>
  </hyperlink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ECC32-6784-44CD-884C-46A8CF85226C}">
  <sheetPr>
    <tabColor theme="8"/>
  </sheetPr>
  <dimension ref="A1:P8"/>
  <sheetViews>
    <sheetView rightToLeft="1" workbookViewId="0">
      <selection activeCell="K13" sqref="K13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SUM(Table6139149[עלות])</f>
        <v>32.39</v>
      </c>
      <c r="F1" s="5" t="s">
        <v>20</v>
      </c>
      <c r="H1" s="8">
        <f>SUM(Table7140150[עלות])</f>
        <v>7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D2" s="3" t="s">
        <v>103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39.39</v>
      </c>
    </row>
    <row r="3" spans="1:16" ht="24.95" customHeight="1" x14ac:dyDescent="0.3">
      <c r="A3" s="3" t="s">
        <v>225</v>
      </c>
      <c r="B3" s="3">
        <v>2</v>
      </c>
      <c r="C3" s="11">
        <f>VLOOKUP(Table6139149[[#This Row],[מוצר]],מוצרים!A:B,2,0)*Table6139149[[#This Row],[כמות במארז]]</f>
        <v>4.24</v>
      </c>
      <c r="F3" s="3" t="s">
        <v>111</v>
      </c>
      <c r="G3" s="3">
        <v>1</v>
      </c>
      <c r="H3" s="11">
        <f>ROUNDUP(VLOOKUP(Table7140150[[#This Row],[מוצר]],אריזות!A:C,2,0)/VLOOKUP(Table7140150[[#This Row],[מוצר]],אריזות!A:C,3,0)*Table7140150[[#This Row],[כמות]],2)</f>
        <v>5.5</v>
      </c>
      <c r="L3" s="3" t="s">
        <v>237</v>
      </c>
    </row>
    <row r="4" spans="1:16" ht="24.95" customHeight="1" x14ac:dyDescent="0.3">
      <c r="A4" s="3" t="s">
        <v>231</v>
      </c>
      <c r="B4" s="3">
        <v>1</v>
      </c>
      <c r="C4" s="11">
        <f>VLOOKUP(Table6139149[[#This Row],[מוצר]],מוצרים!A:B,2,0)*Table6139149[[#This Row],[כמות במארז]]</f>
        <v>5.6</v>
      </c>
      <c r="F4" s="3" t="s">
        <v>233</v>
      </c>
      <c r="G4" s="3">
        <v>1</v>
      </c>
      <c r="H4" s="11">
        <f>ROUNDUP(VLOOKUP(Table7140150[[#This Row],[מוצר]],אריזות!A:C,2,0)/VLOOKUP(Table7140150[[#This Row],[מוצר]],אריזות!A:C,3,0)*Table7140150[[#This Row],[כמות]],2)</f>
        <v>1.5</v>
      </c>
    </row>
    <row r="5" spans="1:16" ht="24.95" customHeight="1" x14ac:dyDescent="0.3">
      <c r="A5" s="3" t="s">
        <v>222</v>
      </c>
      <c r="B5" s="3">
        <v>1</v>
      </c>
      <c r="C5" s="11">
        <f>VLOOKUP(Table6139149[[#This Row],[מוצר]],מוצרים!A:B,2,0)*Table6139149[[#This Row],[כמות במארז]]</f>
        <v>3.23</v>
      </c>
    </row>
    <row r="6" spans="1:16" ht="24.95" customHeight="1" x14ac:dyDescent="0.3">
      <c r="A6" s="3" t="s">
        <v>217</v>
      </c>
      <c r="B6" s="3">
        <v>2</v>
      </c>
      <c r="C6" s="11">
        <f>VLOOKUP(Table6139149[[#This Row],[מוצר]],מוצרים!A:B,2,0)*Table6139149[[#This Row],[כמות במארז]]</f>
        <v>3.64</v>
      </c>
    </row>
    <row r="7" spans="1:16" ht="24.95" customHeight="1" x14ac:dyDescent="0.3">
      <c r="A7" s="3" t="s">
        <v>218</v>
      </c>
      <c r="B7" s="3">
        <v>2</v>
      </c>
      <c r="C7" s="11">
        <f>VLOOKUP(Table6139149[[#This Row],[מוצר]],מוצרים!A:B,2,0)*Table6139149[[#This Row],[כמות במארז]]</f>
        <v>3.72</v>
      </c>
    </row>
    <row r="8" spans="1:16" ht="24.95" customHeight="1" x14ac:dyDescent="0.3">
      <c r="A8" s="3" t="s">
        <v>227</v>
      </c>
      <c r="B8" s="3">
        <v>4</v>
      </c>
      <c r="C8" s="11">
        <f>VLOOKUP(Table6139149[[#This Row],[מוצר]],מוצרים!A:B,2,0)*Table6139149[[#This Row],[כמות במארז]]</f>
        <v>11.96</v>
      </c>
      <c r="D8" s="3" t="s">
        <v>236</v>
      </c>
    </row>
  </sheetData>
  <dataValidations count="2">
    <dataValidation type="list" allowBlank="1" showInputMessage="1" showErrorMessage="1" sqref="F3:F4" xr:uid="{CC042FE5-15F1-4898-9109-C4618CA08C7B}">
      <formula1>INDIRECT("Packages[מוצר]")</formula1>
    </dataValidation>
    <dataValidation type="list" allowBlank="1" showInputMessage="1" showErrorMessage="1" sqref="A3:A8" xr:uid="{1AD15883-8647-4EF9-89F6-1970023CF85C}">
      <formula1>INDIRECT("Products[מוצר]")</formula1>
    </dataValidation>
  </dataValidations>
  <hyperlinks>
    <hyperlink ref="P1" location="ראשי!A1" display="חזרה לתפריט" xr:uid="{3148035B-9B20-44EC-B135-6922DFA9D9FD}"/>
  </hyperlinks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3421C-210A-44A0-BCD2-DA09F1871E8D}">
  <sheetPr>
    <tabColor theme="8"/>
  </sheetPr>
  <dimension ref="A1:P10"/>
  <sheetViews>
    <sheetView rightToLeft="1" workbookViewId="0">
      <selection activeCell="E17" sqref="E17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SUM(Table6139[עלות])</f>
        <v>143.1</v>
      </c>
      <c r="F1" s="5" t="s">
        <v>20</v>
      </c>
      <c r="H1" s="8">
        <f>SUM(Table7140[עלות])</f>
        <v>10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153.1</v>
      </c>
    </row>
    <row r="3" spans="1:16" ht="24.95" customHeight="1" x14ac:dyDescent="0.3">
      <c r="A3" s="3" t="s">
        <v>225</v>
      </c>
      <c r="B3" s="3">
        <v>6</v>
      </c>
      <c r="C3" s="11">
        <f>VLOOKUP(Table6139[[#This Row],[מוצר]],מוצרים!A:B,2,0)*Table6139[[#This Row],[כמות במארז]]</f>
        <v>12.72</v>
      </c>
      <c r="F3" s="3" t="s">
        <v>111</v>
      </c>
      <c r="G3" s="3">
        <v>1</v>
      </c>
      <c r="H3" s="11">
        <f>ROUNDUP(VLOOKUP(Table7140[[#This Row],[מוצר]],אריזות!A:C,2,0)/VLOOKUP(Table7140[[#This Row],[מוצר]],אריזות!A:C,3,0)*Table7140[[#This Row],[כמות]],2)</f>
        <v>5.5</v>
      </c>
    </row>
    <row r="4" spans="1:16" ht="24.95" customHeight="1" x14ac:dyDescent="0.3">
      <c r="A4" s="3" t="s">
        <v>232</v>
      </c>
      <c r="B4" s="3">
        <v>1</v>
      </c>
      <c r="C4" s="11">
        <f>VLOOKUP(Table6139[[#This Row],[מוצר]],מוצרים!A:B,2,0)*Table6139[[#This Row],[כמות במארז]]</f>
        <v>7.1</v>
      </c>
      <c r="F4" s="3" t="s">
        <v>233</v>
      </c>
      <c r="G4" s="3">
        <v>3</v>
      </c>
      <c r="H4" s="11">
        <f>ROUNDUP(VLOOKUP(Table7140[[#This Row],[מוצר]],אריזות!A:C,2,0)/VLOOKUP(Table7140[[#This Row],[מוצר]],אריזות!A:C,3,0)*Table7140[[#This Row],[כמות]],2)</f>
        <v>4.5</v>
      </c>
    </row>
    <row r="5" spans="1:16" ht="24.95" customHeight="1" x14ac:dyDescent="0.3">
      <c r="A5" s="3" t="s">
        <v>229</v>
      </c>
      <c r="B5" s="3">
        <v>6</v>
      </c>
      <c r="C5" s="11">
        <f>VLOOKUP(Table6139[[#This Row],[מוצר]],מוצרים!A:B,2,0)*Table6139[[#This Row],[כמות במארז]]</f>
        <v>18.240000000000002</v>
      </c>
    </row>
    <row r="6" spans="1:16" ht="24.95" customHeight="1" x14ac:dyDescent="0.3">
      <c r="A6" s="3" t="s">
        <v>223</v>
      </c>
      <c r="B6" s="3">
        <v>6</v>
      </c>
      <c r="C6" s="11">
        <f>VLOOKUP(Table6139[[#This Row],[מוצר]],מוצרים!A:B,2,0)*Table6139[[#This Row],[כמות במארז]]</f>
        <v>21.240000000000002</v>
      </c>
    </row>
    <row r="7" spans="1:16" ht="24.95" customHeight="1" x14ac:dyDescent="0.3">
      <c r="A7" s="3" t="s">
        <v>222</v>
      </c>
      <c r="B7" s="3">
        <v>8</v>
      </c>
      <c r="C7" s="11">
        <f>VLOOKUP(Table6139[[#This Row],[מוצר]],מוצרים!A:B,2,0)*Table6139[[#This Row],[כמות במארז]]</f>
        <v>25.84</v>
      </c>
    </row>
    <row r="8" spans="1:16" ht="24.95" customHeight="1" x14ac:dyDescent="0.3">
      <c r="A8" s="3" t="s">
        <v>217</v>
      </c>
      <c r="B8" s="3">
        <v>6</v>
      </c>
      <c r="C8" s="11">
        <f>VLOOKUP(Table6139[[#This Row],[מוצר]],מוצרים!A:B,2,0)*Table6139[[#This Row],[כמות במארז]]</f>
        <v>10.92</v>
      </c>
    </row>
    <row r="9" spans="1:16" ht="24.95" customHeight="1" x14ac:dyDescent="0.3">
      <c r="A9" s="3" t="s">
        <v>218</v>
      </c>
      <c r="B9" s="3">
        <v>6</v>
      </c>
      <c r="C9" s="11">
        <f>VLOOKUP(Table6139[[#This Row],[מוצר]],מוצרים!A:B,2,0)*Table6139[[#This Row],[כמות במארז]]</f>
        <v>11.16</v>
      </c>
    </row>
    <row r="10" spans="1:16" ht="24.95" customHeight="1" x14ac:dyDescent="0.3">
      <c r="A10" s="3" t="s">
        <v>227</v>
      </c>
      <c r="B10" s="3">
        <v>12</v>
      </c>
      <c r="C10" s="11">
        <f>VLOOKUP(Table6139[[#This Row],[מוצר]],מוצרים!A:B,2,0)*Table6139[[#This Row],[כמות במארז]]</f>
        <v>35.880000000000003</v>
      </c>
    </row>
  </sheetData>
  <dataValidations count="2">
    <dataValidation type="list" allowBlank="1" showInputMessage="1" showErrorMessage="1" sqref="F3:F4" xr:uid="{AE213D87-DF2E-41D4-85F9-8DE8848EFD2C}">
      <formula1>INDIRECT("Packages[מוצר]")</formula1>
    </dataValidation>
    <dataValidation type="list" allowBlank="1" showInputMessage="1" showErrorMessage="1" sqref="A3:A10" xr:uid="{B702DBD2-12A2-47C9-8E03-39960FBBCEDB}">
      <formula1>INDIRECT("Products[מוצר]")</formula1>
    </dataValidation>
  </dataValidations>
  <hyperlinks>
    <hyperlink ref="P1" location="ראשי!A1" display="חזרה לתפריט" xr:uid="{AF699B35-5293-443D-8651-6C6D447B1A3D}"/>
  </hyperlinks>
  <pageMargins left="0.7" right="0.7" top="0.75" bottom="0.75" header="0.3" footer="0.3"/>
  <tableParts count="2">
    <tablePart r:id="rId1"/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CE0E3-38D8-45A8-B4B7-092A13628FFB}">
  <sheetPr>
    <tabColor theme="8"/>
  </sheetPr>
  <dimension ref="A1:P8"/>
  <sheetViews>
    <sheetView rightToLeft="1" workbookViewId="0">
      <selection activeCell="H6" sqref="H6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SUM(Table6139141143145147[עלות])</f>
        <v>76.06</v>
      </c>
      <c r="F1" s="5" t="s">
        <v>20</v>
      </c>
      <c r="H1" s="8">
        <f>SUM(Table7140142144146148[עלות])</f>
        <v>13.219999999999999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89.28</v>
      </c>
    </row>
    <row r="3" spans="1:16" ht="24.95" customHeight="1" x14ac:dyDescent="0.3">
      <c r="A3" s="3" t="s">
        <v>225</v>
      </c>
      <c r="B3" s="3">
        <v>8</v>
      </c>
      <c r="C3" s="11">
        <f>VLOOKUP(Table6139141143145147[[#This Row],[מוצר]],מוצרים!A:B,2,0)*Table6139141143145147[[#This Row],[כמות במארז]]</f>
        <v>16.96</v>
      </c>
      <c r="F3" s="3" t="s">
        <v>114</v>
      </c>
      <c r="G3" s="3">
        <v>1</v>
      </c>
      <c r="H3" s="11">
        <f>ROUNDUP(VLOOKUP(Table7140142144146148[[#This Row],[מוצר]],אריזות!A:C,2,0)/VLOOKUP(Table7140142144146148[[#This Row],[מוצר]],אריזות!A:C,3,0)*Table7140142144146148[[#This Row],[כמות]],2)</f>
        <v>5.42</v>
      </c>
    </row>
    <row r="4" spans="1:16" ht="24.95" customHeight="1" x14ac:dyDescent="0.3">
      <c r="A4" s="3" t="s">
        <v>222</v>
      </c>
      <c r="B4" s="3">
        <v>6</v>
      </c>
      <c r="C4" s="11">
        <f>VLOOKUP(Table6139141143145147[[#This Row],[מוצר]],מוצרים!A:B,2,0)*Table6139141143145147[[#This Row],[כמות במארז]]</f>
        <v>19.38</v>
      </c>
      <c r="F4" s="3" t="s">
        <v>235</v>
      </c>
      <c r="G4" s="3">
        <v>3</v>
      </c>
      <c r="H4" s="11">
        <f>ROUNDUP(VLOOKUP(Table7140142144146148[[#This Row],[מוצר]],אריזות!A:C,2,0)/VLOOKUP(Table7140142144146148[[#This Row],[מוצר]],אריזות!A:C,3,0)*Table7140142144146148[[#This Row],[כמות]],2)</f>
        <v>3.3</v>
      </c>
    </row>
    <row r="5" spans="1:16" ht="24.95" customHeight="1" x14ac:dyDescent="0.3">
      <c r="A5" s="3" t="s">
        <v>217</v>
      </c>
      <c r="B5" s="3">
        <v>5</v>
      </c>
      <c r="C5" s="11">
        <f>VLOOKUP(Table6139141143145147[[#This Row],[מוצר]],מוצרים!A:B,2,0)*Table6139141143145147[[#This Row],[כמות במארז]]</f>
        <v>9.1</v>
      </c>
      <c r="F5" s="3" t="s">
        <v>233</v>
      </c>
      <c r="G5" s="3">
        <v>3</v>
      </c>
      <c r="H5" s="11">
        <f>ROUNDUP(VLOOKUP(Table7140142144146148[[#This Row],[מוצר]],אריזות!A:C,2,0)/VLOOKUP(Table7140142144146148[[#This Row],[מוצר]],אריזות!A:C,3,0)*Table7140142144146148[[#This Row],[כמות]],2)</f>
        <v>4.5</v>
      </c>
    </row>
    <row r="6" spans="1:16" ht="24.95" customHeight="1" x14ac:dyDescent="0.3">
      <c r="A6" s="3" t="s">
        <v>218</v>
      </c>
      <c r="B6" s="3">
        <v>3</v>
      </c>
      <c r="C6" s="11">
        <f>VLOOKUP(Table6139141143145147[[#This Row],[מוצר]],מוצרים!A:B,2,0)*Table6139141143145147[[#This Row],[כמות במארז]]</f>
        <v>5.58</v>
      </c>
    </row>
    <row r="7" spans="1:16" ht="24.95" customHeight="1" x14ac:dyDescent="0.3">
      <c r="A7" s="3" t="s">
        <v>227</v>
      </c>
      <c r="B7" s="3">
        <v>6</v>
      </c>
      <c r="C7" s="11">
        <f>VLOOKUP(Table6139141143145147[[#This Row],[מוצר]],מוצרים!A:B,2,0)*Table6139141143145147[[#This Row],[כמות במארז]]</f>
        <v>17.940000000000001</v>
      </c>
    </row>
    <row r="8" spans="1:16" ht="24.95" customHeight="1" x14ac:dyDescent="0.3">
      <c r="A8" s="3" t="s">
        <v>232</v>
      </c>
      <c r="B8" s="3">
        <v>1</v>
      </c>
      <c r="C8" s="11">
        <f>VLOOKUP(Table6139141143145147[[#This Row],[מוצר]],מוצרים!A:B,2,0)*Table6139141143145147[[#This Row],[כמות במארז]]</f>
        <v>7.1</v>
      </c>
    </row>
  </sheetData>
  <dataValidations count="2">
    <dataValidation type="list" allowBlank="1" showInputMessage="1" showErrorMessage="1" sqref="F3:F5" xr:uid="{F6F8654E-B389-4D9F-A083-6B69EFCC39D1}">
      <formula1>INDIRECT("Packages[מוצר]")</formula1>
    </dataValidation>
    <dataValidation type="list" allowBlank="1" showInputMessage="1" showErrorMessage="1" sqref="A3:A8" xr:uid="{D570E463-65ED-4B0D-95A0-8586F09CC0C2}">
      <formula1>INDIRECT("Products[מוצר]")</formula1>
    </dataValidation>
  </dataValidations>
  <hyperlinks>
    <hyperlink ref="P1" location="ראשי!A1" display="חזרה לתפריט" xr:uid="{DD677857-9897-42B4-9AA4-C040F1347B29}"/>
  </hyperlinks>
  <pageMargins left="0.7" right="0.7" top="0.75" bottom="0.75" header="0.3" footer="0.3"/>
  <tableParts count="2">
    <tablePart r:id="rId1"/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099AB-6556-4A11-B0FF-6C5241FC0AFF}">
  <sheetPr>
    <tabColor theme="8"/>
  </sheetPr>
  <dimension ref="A1:P9"/>
  <sheetViews>
    <sheetView rightToLeft="1" workbookViewId="0">
      <selection activeCell="B10" sqref="B10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SUM(Table6139141143145[עלות])</f>
        <v>66.25</v>
      </c>
      <c r="F1" s="5" t="s">
        <v>20</v>
      </c>
      <c r="H1" s="8">
        <f>SUM(Table7140142144146[עלות])</f>
        <v>11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77.25</v>
      </c>
    </row>
    <row r="3" spans="1:16" ht="24.95" customHeight="1" x14ac:dyDescent="0.3">
      <c r="A3" s="3" t="s">
        <v>225</v>
      </c>
      <c r="B3" s="3">
        <v>3</v>
      </c>
      <c r="C3" s="11">
        <f>VLOOKUP(Table6139141143145[[#This Row],[מוצר]],מוצרים!A:B,2,0)*Table6139141143145[[#This Row],[כמות במארז]]</f>
        <v>6.36</v>
      </c>
      <c r="F3" s="3" t="s">
        <v>83</v>
      </c>
      <c r="G3" s="3">
        <v>1</v>
      </c>
      <c r="H3" s="11">
        <f>ROUNDUP(VLOOKUP(Table7140142144146[[#This Row],[מוצר]],אריזות!A:C,2,0)/VLOOKUP(Table7140142144146[[#This Row],[מוצר]],אריזות!A:C,3,0)*Table7140142144146[[#This Row],[כמות]],2)</f>
        <v>6.5</v>
      </c>
    </row>
    <row r="4" spans="1:16" ht="24.95" customHeight="1" x14ac:dyDescent="0.3">
      <c r="A4" s="3" t="s">
        <v>222</v>
      </c>
      <c r="B4" s="3">
        <v>2</v>
      </c>
      <c r="C4" s="11">
        <f>VLOOKUP(Table6139141143145[[#This Row],[מוצר]],מוצרים!A:B,2,0)*Table6139141143145[[#This Row],[כמות במארז]]</f>
        <v>6.46</v>
      </c>
      <c r="F4" s="3" t="s">
        <v>233</v>
      </c>
      <c r="G4" s="3">
        <v>3</v>
      </c>
      <c r="H4" s="11">
        <f>ROUNDUP(VLOOKUP(Table7140142144146[[#This Row],[מוצר]],אריזות!A:C,2,0)/VLOOKUP(Table7140142144146[[#This Row],[מוצר]],אריזות!A:C,3,0)*Table7140142144146[[#This Row],[כמות]],2)</f>
        <v>4.5</v>
      </c>
    </row>
    <row r="5" spans="1:16" ht="24.95" customHeight="1" x14ac:dyDescent="0.3">
      <c r="A5" s="3" t="s">
        <v>217</v>
      </c>
      <c r="B5" s="3">
        <v>2</v>
      </c>
      <c r="C5" s="11">
        <f>VLOOKUP(Table6139141143145[[#This Row],[מוצר]],מוצרים!A:B,2,0)*Table6139141143145[[#This Row],[כמות במארז]]</f>
        <v>3.64</v>
      </c>
    </row>
    <row r="6" spans="1:16" ht="24.95" customHeight="1" x14ac:dyDescent="0.3">
      <c r="A6" s="3" t="s">
        <v>218</v>
      </c>
      <c r="B6" s="3">
        <v>2</v>
      </c>
      <c r="C6" s="11">
        <f>VLOOKUP(Table6139141143145[[#This Row],[מוצר]],מוצרים!A:B,2,0)*Table6139141143145[[#This Row],[כמות במארז]]</f>
        <v>3.72</v>
      </c>
    </row>
    <row r="7" spans="1:16" ht="24.95" customHeight="1" x14ac:dyDescent="0.3">
      <c r="A7" s="3" t="s">
        <v>227</v>
      </c>
      <c r="B7" s="3">
        <v>11</v>
      </c>
      <c r="C7" s="11">
        <f>VLOOKUP(Table6139141143145[[#This Row],[מוצר]],מוצרים!A:B,2,0)*Table6139141143145[[#This Row],[כמות במארז]]</f>
        <v>32.89</v>
      </c>
    </row>
    <row r="8" spans="1:16" ht="24.95" customHeight="1" x14ac:dyDescent="0.3">
      <c r="A8" s="3" t="s">
        <v>229</v>
      </c>
      <c r="B8" s="3">
        <v>2</v>
      </c>
      <c r="C8" s="11">
        <f>VLOOKUP(Table6139141143145[[#This Row],[מוצר]],מוצרים!A:B,2,0)*Table6139141143145[[#This Row],[כמות במארז]]</f>
        <v>6.08</v>
      </c>
    </row>
    <row r="9" spans="1:16" ht="24.95" customHeight="1" x14ac:dyDescent="0.3">
      <c r="A9" s="3" t="s">
        <v>232</v>
      </c>
      <c r="B9" s="3">
        <v>1</v>
      </c>
      <c r="C9" s="11">
        <f>VLOOKUP(Table6139141143145[[#This Row],[מוצר]],מוצרים!A:B,2,0)*Table6139141143145[[#This Row],[כמות במארז]]</f>
        <v>7.1</v>
      </c>
    </row>
  </sheetData>
  <dataValidations count="2">
    <dataValidation type="list" allowBlank="1" showInputMessage="1" showErrorMessage="1" sqref="F3:F4" xr:uid="{D698EFFC-5885-41F8-96B0-4315AC082347}">
      <formula1>INDIRECT("Packages[מוצר]")</formula1>
    </dataValidation>
    <dataValidation type="list" allowBlank="1" showInputMessage="1" showErrorMessage="1" sqref="A3:A9" xr:uid="{4BA57A63-A358-4C9B-8BD4-17316E15A582}">
      <formula1>INDIRECT("Products[מוצר]")</formula1>
    </dataValidation>
  </dataValidations>
  <hyperlinks>
    <hyperlink ref="P1" location="ראשי!A1" display="חזרה לתפריט" xr:uid="{0B6DDBA2-E5EB-47B3-9C0D-8015BB5131F5}"/>
  </hyperlinks>
  <pageMargins left="0.7" right="0.7" top="0.75" bottom="0.75" header="0.3" footer="0.3"/>
  <tableParts count="2">
    <tablePart r:id="rId1"/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FFC8F-54F8-4095-8D16-D840CEB11D9C}">
  <sheetPr>
    <tabColor theme="8"/>
  </sheetPr>
  <dimension ref="A1:P9"/>
  <sheetViews>
    <sheetView rightToLeft="1" workbookViewId="0">
      <selection activeCell="B7" sqref="B7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SUM(Table6139141143[עלות])</f>
        <v>87.080000000000013</v>
      </c>
      <c r="F1" s="5" t="s">
        <v>20</v>
      </c>
      <c r="H1" s="8">
        <f>SUM(Table7140142144[עלות])</f>
        <v>10.5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97.58</v>
      </c>
    </row>
    <row r="3" spans="1:16" ht="24.95" customHeight="1" x14ac:dyDescent="0.3">
      <c r="A3" s="3" t="s">
        <v>225</v>
      </c>
      <c r="B3" s="3">
        <v>6</v>
      </c>
      <c r="C3" s="11">
        <f>VLOOKUP(Table6139141143[[#This Row],[מוצר]],מוצרים!A:B,2,0)*Table6139141143[[#This Row],[כמות במארז]]</f>
        <v>12.72</v>
      </c>
      <c r="F3" s="3" t="s">
        <v>94</v>
      </c>
      <c r="G3" s="3">
        <v>1</v>
      </c>
      <c r="H3" s="11">
        <f>ROUNDUP(VLOOKUP(Table7140142144[[#This Row],[מוצר]],אריזות!A:C,2,0)/VLOOKUP(Table7140142144[[#This Row],[מוצר]],אריזות!A:C,3,0)*Table7140142144[[#This Row],[כמות]],2)</f>
        <v>5</v>
      </c>
    </row>
    <row r="4" spans="1:16" ht="24.95" customHeight="1" x14ac:dyDescent="0.3">
      <c r="A4" s="3" t="s">
        <v>223</v>
      </c>
      <c r="B4" s="3">
        <v>3</v>
      </c>
      <c r="C4" s="11">
        <f>VLOOKUP(Table6139141143[[#This Row],[מוצר]],מוצרים!A:B,2,0)*Table6139141143[[#This Row],[כמות במארז]]</f>
        <v>10.620000000000001</v>
      </c>
      <c r="F4" s="3" t="s">
        <v>235</v>
      </c>
      <c r="G4" s="3">
        <v>5</v>
      </c>
      <c r="H4" s="11">
        <f>ROUNDUP(VLOOKUP(Table7140142144[[#This Row],[מוצר]],אריזות!A:C,2,0)/VLOOKUP(Table7140142144[[#This Row],[מוצר]],אריזות!A:C,3,0)*Table7140142144[[#This Row],[כמות]],2)</f>
        <v>5.5</v>
      </c>
    </row>
    <row r="5" spans="1:16" ht="24.95" customHeight="1" x14ac:dyDescent="0.3">
      <c r="A5" s="3" t="s">
        <v>222</v>
      </c>
      <c r="B5" s="3">
        <v>3</v>
      </c>
      <c r="C5" s="11">
        <f>VLOOKUP(Table6139141143[[#This Row],[מוצר]],מוצרים!A:B,2,0)*Table6139141143[[#This Row],[כמות במארז]]</f>
        <v>9.69</v>
      </c>
    </row>
    <row r="6" spans="1:16" ht="24.95" customHeight="1" x14ac:dyDescent="0.3">
      <c r="A6" s="3" t="s">
        <v>217</v>
      </c>
      <c r="B6" s="3">
        <v>9</v>
      </c>
      <c r="C6" s="11">
        <f>VLOOKUP(Table6139141143[[#This Row],[מוצר]],מוצרים!A:B,2,0)*Table6139141143[[#This Row],[כמות במארז]]</f>
        <v>16.38</v>
      </c>
    </row>
    <row r="7" spans="1:16" ht="24.95" customHeight="1" x14ac:dyDescent="0.3">
      <c r="A7" s="3" t="s">
        <v>218</v>
      </c>
      <c r="B7" s="3">
        <v>9</v>
      </c>
      <c r="C7" s="11">
        <f>VLOOKUP(Table6139141143[[#This Row],[מוצר]],מוצרים!A:B,2,0)*Table6139141143[[#This Row],[כמות במארז]]</f>
        <v>16.740000000000002</v>
      </c>
    </row>
    <row r="8" spans="1:16" ht="24.95" customHeight="1" x14ac:dyDescent="0.3">
      <c r="A8" s="3" t="s">
        <v>227</v>
      </c>
      <c r="B8" s="3">
        <v>7</v>
      </c>
      <c r="C8" s="11">
        <f>VLOOKUP(Table6139141143[[#This Row],[מוצר]],מוצרים!A:B,2,0)*Table6139141143[[#This Row],[כמות במארז]]</f>
        <v>20.93</v>
      </c>
    </row>
    <row r="9" spans="1:16" ht="24.95" customHeight="1" x14ac:dyDescent="0.3">
      <c r="A9" s="3" t="s">
        <v>229</v>
      </c>
      <c r="B9" s="3">
        <v>0</v>
      </c>
      <c r="C9" s="11">
        <f>VLOOKUP(Table6139141143[[#This Row],[מוצר]],מוצרים!A:B,2,0)*Table6139141143[[#This Row],[כמות במארז]]</f>
        <v>0</v>
      </c>
    </row>
  </sheetData>
  <dataValidations count="2">
    <dataValidation type="list" allowBlank="1" showInputMessage="1" showErrorMessage="1" sqref="A3:A9" xr:uid="{E7D9BA47-94F9-43E0-A08B-77FBA13B2EAA}">
      <formula1>INDIRECT("Products[מוצר]")</formula1>
    </dataValidation>
    <dataValidation type="list" allowBlank="1" showInputMessage="1" showErrorMessage="1" sqref="F3:F4" xr:uid="{4C37534E-E6CE-4523-9BB4-92F586B946B4}">
      <formula1>INDIRECT("Packages[מוצר]")</formula1>
    </dataValidation>
  </dataValidations>
  <hyperlinks>
    <hyperlink ref="P1" location="ראשי!A1" display="חזרה לתפריט" xr:uid="{172319BA-ACEF-48E8-8A76-FB279C2F74F4}"/>
  </hyperlinks>
  <pageMargins left="0.7" right="0.7" top="0.75" bottom="0.75" header="0.3" footer="0.3"/>
  <tableParts count="2">
    <tablePart r:id="rId1"/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28F8E-AEE6-4AE0-971C-D71F82A732DA}">
  <sheetPr>
    <tabColor theme="8"/>
  </sheetPr>
  <dimension ref="A1:P8"/>
  <sheetViews>
    <sheetView rightToLeft="1" workbookViewId="0">
      <selection activeCell="F9" sqref="F9"/>
    </sheetView>
  </sheetViews>
  <sheetFormatPr defaultColWidth="15.85546875" defaultRowHeight="24.95" customHeight="1" x14ac:dyDescent="0.3"/>
  <cols>
    <col min="1" max="1" width="26.28515625" style="3" bestFit="1" customWidth="1"/>
    <col min="2" max="2" width="15.85546875" style="3"/>
    <col min="3" max="3" width="15.85546875" style="7"/>
    <col min="4" max="5" width="15.85546875" style="3"/>
    <col min="6" max="6" width="37.42578125" style="3" bestFit="1" customWidth="1"/>
    <col min="7" max="7" width="15.85546875" style="3"/>
    <col min="8" max="8" width="15.85546875" style="7"/>
    <col min="9" max="16384" width="15.85546875" style="3"/>
  </cols>
  <sheetData>
    <row r="1" spans="1:16" ht="24.95" customHeight="1" x14ac:dyDescent="0.3">
      <c r="A1" s="5" t="s">
        <v>18</v>
      </c>
      <c r="C1" s="8">
        <f>SUM(Table6139141[עלות])</f>
        <v>52.96</v>
      </c>
      <c r="F1" s="5" t="s">
        <v>20</v>
      </c>
      <c r="H1" s="8">
        <f>SUM(Table7140142[עלות])</f>
        <v>6</v>
      </c>
      <c r="P1" s="4" t="s">
        <v>27</v>
      </c>
    </row>
    <row r="2" spans="1:16" ht="24.95" customHeight="1" x14ac:dyDescent="0.3">
      <c r="A2" s="3" t="s">
        <v>17</v>
      </c>
      <c r="B2" s="3" t="s">
        <v>19</v>
      </c>
      <c r="C2" s="7" t="s">
        <v>5</v>
      </c>
      <c r="F2" s="3" t="s">
        <v>17</v>
      </c>
      <c r="G2" s="3" t="s">
        <v>21</v>
      </c>
      <c r="H2" s="7" t="s">
        <v>5</v>
      </c>
      <c r="K2" s="5" t="s">
        <v>22</v>
      </c>
      <c r="L2" s="8">
        <f>ROUNDUP(H1+C1,2)</f>
        <v>58.96</v>
      </c>
    </row>
    <row r="3" spans="1:16" ht="24.95" customHeight="1" x14ac:dyDescent="0.3">
      <c r="A3" s="3" t="s">
        <v>225</v>
      </c>
      <c r="B3" s="3">
        <v>4</v>
      </c>
      <c r="C3" s="11">
        <f>VLOOKUP(Table6139141[[#This Row],[מוצר]],מוצרים!A:B,2,0)*Table6139141[[#This Row],[כמות במארז]]</f>
        <v>8.48</v>
      </c>
      <c r="F3" s="3" t="s">
        <v>110</v>
      </c>
      <c r="G3" s="3">
        <v>1</v>
      </c>
      <c r="H3" s="11">
        <f>ROUNDUP(VLOOKUP(Table7140142[[#This Row],[מוצר]],אריזות!A:C,2,0)/VLOOKUP(Table7140142[[#This Row],[מוצר]],אריזות!A:C,3,0)*Table7140142[[#This Row],[כמות]],2)</f>
        <v>4.5</v>
      </c>
    </row>
    <row r="4" spans="1:16" ht="24.95" customHeight="1" x14ac:dyDescent="0.3">
      <c r="A4" s="3" t="s">
        <v>223</v>
      </c>
      <c r="B4" s="3">
        <v>3</v>
      </c>
      <c r="C4" s="11">
        <f>VLOOKUP(Table6139141[[#This Row],[מוצר]],מוצרים!A:B,2,0)*Table6139141[[#This Row],[כמות במארז]]</f>
        <v>10.620000000000001</v>
      </c>
      <c r="F4" s="3" t="s">
        <v>233</v>
      </c>
      <c r="G4" s="3">
        <v>1</v>
      </c>
      <c r="H4" s="11">
        <f>ROUNDUP(VLOOKUP(Table7140142[[#This Row],[מוצר]],אריזות!A:C,2,0)/VLOOKUP(Table7140142[[#This Row],[מוצר]],אריזות!A:C,3,0)*Table7140142[[#This Row],[כמות]],2)</f>
        <v>1.5</v>
      </c>
    </row>
    <row r="5" spans="1:16" ht="24.95" customHeight="1" x14ac:dyDescent="0.3">
      <c r="A5" s="3" t="s">
        <v>222</v>
      </c>
      <c r="B5" s="3">
        <v>3</v>
      </c>
      <c r="C5" s="11">
        <f>VLOOKUP(Table6139141[[#This Row],[מוצר]],מוצרים!A:B,2,0)*Table6139141[[#This Row],[כמות במארז]]</f>
        <v>9.69</v>
      </c>
    </row>
    <row r="6" spans="1:16" ht="24.95" customHeight="1" x14ac:dyDescent="0.3">
      <c r="A6" s="3" t="s">
        <v>217</v>
      </c>
      <c r="B6" s="3">
        <v>2</v>
      </c>
      <c r="C6" s="11">
        <f>VLOOKUP(Table6139141[[#This Row],[מוצר]],מוצרים!A:B,2,0)*Table6139141[[#This Row],[כמות במארז]]</f>
        <v>3.64</v>
      </c>
    </row>
    <row r="7" spans="1:16" ht="24.95" customHeight="1" x14ac:dyDescent="0.3">
      <c r="A7" s="3" t="s">
        <v>218</v>
      </c>
      <c r="B7" s="3">
        <v>3</v>
      </c>
      <c r="C7" s="11">
        <f>VLOOKUP(Table6139141[[#This Row],[מוצר]],מוצרים!A:B,2,0)*Table6139141[[#This Row],[כמות במארז]]</f>
        <v>5.58</v>
      </c>
    </row>
    <row r="8" spans="1:16" ht="24.95" customHeight="1" x14ac:dyDescent="0.3">
      <c r="A8" s="3" t="s">
        <v>227</v>
      </c>
      <c r="B8" s="3">
        <v>5</v>
      </c>
      <c r="C8" s="11">
        <f>VLOOKUP(Table6139141[[#This Row],[מוצר]],מוצרים!A:B,2,0)*Table6139141[[#This Row],[כמות במארז]]</f>
        <v>14.950000000000001</v>
      </c>
    </row>
  </sheetData>
  <dataValidations count="2">
    <dataValidation type="list" allowBlank="1" showInputMessage="1" showErrorMessage="1" sqref="F3:F4" xr:uid="{A24441EE-384F-4CD8-B847-7CC6733173DE}">
      <formula1>INDIRECT("Packages[מוצר]")</formula1>
    </dataValidation>
    <dataValidation type="list" allowBlank="1" showInputMessage="1" showErrorMessage="1" sqref="A3:A8" xr:uid="{4E7DB705-21BC-4C28-9610-D25DE062263B}">
      <formula1>INDIRECT("Products[מוצר]")</formula1>
    </dataValidation>
  </dataValidations>
  <hyperlinks>
    <hyperlink ref="P1" location="ראשי!A1" display="חזרה לתפריט" xr:uid="{D0788860-2F53-44F5-8838-E8209947C8FD}"/>
  </hyperlinks>
  <pageMargins left="0.7" right="0.7" top="0.75" bottom="0.75" header="0.3" footer="0.3"/>
  <tableParts count="2">
    <tablePart r:id="rId1"/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7CE65-1471-4FA4-BCFA-9212FC5B7766}">
  <sheetPr>
    <tabColor theme="9"/>
  </sheetPr>
  <dimension ref="A1:T11"/>
  <sheetViews>
    <sheetView rightToLeft="1" tabSelected="1" workbookViewId="0">
      <selection activeCell="J11" sqref="J11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ROUNDUP(SUM(Recipe10161922495255109114117120123126129138[עלות למתכון]),2)</f>
        <v>25.87</v>
      </c>
      <c r="F1" s="5" t="s">
        <v>9</v>
      </c>
      <c r="J1" s="5" t="s">
        <v>21</v>
      </c>
      <c r="O1" s="5" t="s">
        <v>20</v>
      </c>
      <c r="Q1" s="8">
        <f>SUM(SinglePack12182124515457111113116119122125128137[עלות])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200</v>
      </c>
      <c r="C3" s="10" t="str">
        <f>VLOOKUP(Recipe10161922495255109114117120123126129138[[#This Row],[חומר גלם]],'חומרי גלם'!A:D,4,0)</f>
        <v>גרם</v>
      </c>
      <c r="D3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9</v>
      </c>
      <c r="F3" s="3">
        <v>1</v>
      </c>
      <c r="G3" s="3">
        <v>50</v>
      </c>
      <c r="H3" s="10">
        <f>Work11172023505356110112115118121124127136[[#This Row],[עלות לשעת עבודה]]*Work11172023505356110112115118121124127136[[#This Row],[שעות עבודה]]</f>
        <v>50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ROUNDUP(VLOOKUP(SinglePack12182124515457111113116119122125128137[[#This Row],[מוצר]],אריזות!A:C,2,0)/VLOOKUP(SinglePack12182124515457111113116119122125128137[[#This Row],[מוצר]],אריזות!A:C,3,0)*SinglePack12182124515457111113116119122125128137[[#This Row],[כמות]],2)</f>
        <v>4.5</v>
      </c>
      <c r="S3" s="15">
        <f>Q1+M4</f>
        <v>7.54</v>
      </c>
    </row>
    <row r="4" spans="1:20" ht="24.95" customHeight="1" thickTop="1" x14ac:dyDescent="0.3">
      <c r="A4" s="3" t="s">
        <v>58</v>
      </c>
      <c r="B4" s="3">
        <v>100</v>
      </c>
      <c r="C4" s="10" t="str">
        <f>VLOOKUP(Recipe10161922495255109114117120123126129138[[#This Row],[חומר גלם]],'חומרי גלם'!A:D,4,0)</f>
        <v>גרם</v>
      </c>
      <c r="D4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1</v>
      </c>
      <c r="J4" s="16">
        <v>25</v>
      </c>
      <c r="K4" s="17">
        <f>ROUNDUP(D1/J4,2)</f>
        <v>1.04</v>
      </c>
      <c r="L4" s="17" cm="1">
        <f t="array" ref="L4">ROUNDUP(Work11172023505356110112115118121124127136[עלות עבודה]/J4,2)</f>
        <v>2</v>
      </c>
      <c r="M4" s="8">
        <f>L4+K4</f>
        <v>3.04</v>
      </c>
    </row>
    <row r="5" spans="1:20" ht="24.95" customHeight="1" x14ac:dyDescent="0.3">
      <c r="A5" s="3" t="s">
        <v>123</v>
      </c>
      <c r="B5" s="3">
        <v>5</v>
      </c>
      <c r="C5" s="10" t="str">
        <f>VLOOKUP(Recipe10161922495255109114117120123126129138[[#This Row],[חומר גלם]],'חומרי גלם'!A:D,4,0)</f>
        <v>גרם</v>
      </c>
      <c r="D5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5.38</v>
      </c>
    </row>
    <row r="6" spans="1:20" ht="24.95" customHeight="1" x14ac:dyDescent="0.3">
      <c r="A6" s="3" t="s">
        <v>52</v>
      </c>
      <c r="B6" s="3">
        <v>0.1</v>
      </c>
      <c r="C6" s="10" t="str">
        <f>VLOOKUP(Recipe10161922495255109114117120123126129138[[#This Row],[חומר גלם]],'חומרי גלם'!A:D,4,0)</f>
        <v>גרם</v>
      </c>
      <c r="D6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0.01</v>
      </c>
    </row>
    <row r="7" spans="1:20" ht="24.95" customHeight="1" x14ac:dyDescent="0.3">
      <c r="A7" s="3" t="s">
        <v>43</v>
      </c>
      <c r="B7" s="3">
        <v>220</v>
      </c>
      <c r="C7" s="10" t="str">
        <f>VLOOKUP(Recipe10161922495255109114117120123126129138[[#This Row],[חומר גלם]],'חומרי גלם'!A:D,4,0)</f>
        <v>גרם</v>
      </c>
      <c r="D7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1.9</v>
      </c>
    </row>
    <row r="8" spans="1:20" ht="24.95" customHeight="1" x14ac:dyDescent="0.3">
      <c r="A8" s="3" t="s">
        <v>97</v>
      </c>
      <c r="B8" s="3">
        <v>1</v>
      </c>
      <c r="C8" s="10" t="str">
        <f>VLOOKUP(Recipe10161922495255109114117120123126129138[[#This Row],[חומר גלם]],'חומרי גלם'!A:D,4,0)</f>
        <v>יחידות</v>
      </c>
      <c r="D8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1.08</v>
      </c>
    </row>
    <row r="9" spans="1:20" ht="24.95" customHeight="1" x14ac:dyDescent="0.3">
      <c r="A9" s="3" t="s">
        <v>214</v>
      </c>
      <c r="B9" s="3">
        <v>0.5</v>
      </c>
      <c r="C9" s="10" t="str">
        <f>VLOOKUP(Recipe10161922495255109114117120123126129138[[#This Row],[חומר גלם]],'חומרי גלם'!A:D,4,0)</f>
        <v>יחידות</v>
      </c>
      <c r="D9" s="11">
        <f>ROUNDUP(Recipe10161922495255109114117120123126129138[[#This Row],[כמות במתכון]]*VLOOKUP(Recipe10161922495255109114117120123126129138[[#This Row],[חומר גלם]],'חומרי גלם'!A:D,2,0)/VLOOKUP(Recipe10161922495255109114117120123126129138[[#This Row],[חומר גלם]],'חומרי גלם'!A:D,3,0),2)</f>
        <v>7.5</v>
      </c>
    </row>
    <row r="11" spans="1:20" ht="24.95" customHeight="1" x14ac:dyDescent="0.3">
      <c r="J11" s="3" t="s">
        <v>230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8C3DB418-6D7D-4E57-B1D3-2DE20E986564}">
      <formula1>INDIRECT("Packages[מוצר]")</formula1>
    </dataValidation>
    <dataValidation type="list" allowBlank="1" showInputMessage="1" showErrorMessage="1" sqref="A3:A9" xr:uid="{AAC3B25C-B174-496D-AFBB-7C7206462FF9}">
      <formula1>INDIRECT("Ingredients[חומר גלם]")</formula1>
    </dataValidation>
  </dataValidations>
  <hyperlinks>
    <hyperlink ref="T1" location="ראשי!A1" display="חזרה לתפריט" xr:uid="{DFEE6F24-27C5-431B-B007-9BDD363F7BC7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6FC28-E85F-41CD-AAD2-454F3FD60DF5}">
  <sheetPr>
    <tabColor theme="9"/>
  </sheetPr>
  <dimension ref="A1:T6"/>
  <sheetViews>
    <sheetView rightToLeft="1" workbookViewId="0">
      <selection activeCell="J8" sqref="J8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ROUNDUP(SUM(Recipe10161922495255109114117120123126129132135[עלות למתכון]),2)</f>
        <v>27.51</v>
      </c>
      <c r="F1" s="5" t="s">
        <v>9</v>
      </c>
      <c r="J1" s="5" t="s">
        <v>21</v>
      </c>
      <c r="O1" s="5" t="s">
        <v>20</v>
      </c>
      <c r="Q1" s="8">
        <f>SUM(SinglePack12182124515457111113116119122125128131134[עלות])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119</v>
      </c>
      <c r="B3" s="3">
        <v>400</v>
      </c>
      <c r="C3" s="10" t="str">
        <f>VLOOKUP(Recipe10161922495255109114117120123126129132135[[#This Row],[חומר גלם]],'חומרי גלם'!A:D,4,0)</f>
        <v>גרם</v>
      </c>
      <c r="D3" s="11">
        <f>ROUNDUP(Recipe10161922495255109114117120123126129132135[[#This Row],[כמות במתכון]]*VLOOKUP(Recipe10161922495255109114117120123126129132135[[#This Row],[חומר גלם]],'חומרי גלם'!A:D,2,0)/VLOOKUP(Recipe10161922495255109114117120123126129132135[[#This Row],[חומר גלם]],'חומרי גלם'!A:D,3,0),2)</f>
        <v>15</v>
      </c>
      <c r="F3" s="3">
        <v>0.3</v>
      </c>
      <c r="G3" s="3">
        <v>50</v>
      </c>
      <c r="H3" s="10">
        <f>Work11172023505356110112115118121124127130133[[#This Row],[עלות לשעת עבודה]]*Work11172023505356110112115118121124127130133[[#This Row],[שעות עבודה]]</f>
        <v>15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ROUNDUP(VLOOKUP(SinglePack12182124515457111113116119122125128131134[[#This Row],[מוצר]],אריזות!A:C,2,0)/VLOOKUP(SinglePack12182124515457111113116119122125128131134[[#This Row],[מוצר]],אריזות!A:C,3,0)*SinglePack12182124515457111113116119122125128131134[[#This Row],[כמות]],2)</f>
        <v>4.5</v>
      </c>
      <c r="S3" s="15">
        <f>Q1+M4</f>
        <v>6.63</v>
      </c>
    </row>
    <row r="4" spans="1:20" ht="24.95" customHeight="1" thickTop="1" x14ac:dyDescent="0.3">
      <c r="A4" s="3" t="s">
        <v>154</v>
      </c>
      <c r="B4" s="3">
        <v>200</v>
      </c>
      <c r="C4" s="10" t="str">
        <f>VLOOKUP(Recipe10161922495255109114117120123126129132135[[#This Row],[חומר גלם]],'חומרי גלם'!A:D,4,0)</f>
        <v>גרם</v>
      </c>
      <c r="D4" s="11">
        <f>ROUNDUP(Recipe10161922495255109114117120123126129132135[[#This Row],[כמות במתכון]]*VLOOKUP(Recipe10161922495255109114117120123126129132135[[#This Row],[חומר גלם]],'חומרי גלם'!A:D,2,0)/VLOOKUP(Recipe10161922495255109114117120123126129132135[[#This Row],[חומר גלם]],'חומרי גלם'!A:D,3,0),2)</f>
        <v>4.71</v>
      </c>
      <c r="J4" s="16">
        <v>20</v>
      </c>
      <c r="K4" s="17">
        <f>ROUNDUP(D1/J4,2)</f>
        <v>1.3800000000000001</v>
      </c>
      <c r="L4" s="17" cm="1">
        <f t="array" ref="L4">ROUNDUP(Work11172023505356110112115118121124127130133[עלות עבודה]/J4,2)</f>
        <v>0.75</v>
      </c>
      <c r="M4" s="8">
        <f>L4+K4</f>
        <v>2.13</v>
      </c>
    </row>
    <row r="5" spans="1:20" ht="24.95" customHeight="1" x14ac:dyDescent="0.3">
      <c r="A5" s="3" t="s">
        <v>63</v>
      </c>
      <c r="B5" s="3">
        <v>20</v>
      </c>
      <c r="C5" s="10" t="str">
        <f>VLOOKUP(Recipe10161922495255109114117120123126129132135[[#This Row],[חומר גלם]],'חומרי גלם'!A:D,4,0)</f>
        <v>מיליליטר</v>
      </c>
      <c r="D5" s="11">
        <f>ROUNDUP(Recipe10161922495255109114117120123126129132135[[#This Row],[כמות במתכון]]*VLOOKUP(Recipe10161922495255109114117120123126129132135[[#This Row],[חומר גלם]],'חומרי גלם'!A:D,2,0)/VLOOKUP(Recipe10161922495255109114117120123126129132135[[#This Row],[חומר גלם]],'חומרי גלם'!A:D,3,0),2)</f>
        <v>0.3</v>
      </c>
    </row>
    <row r="6" spans="1:20" ht="24.95" customHeight="1" x14ac:dyDescent="0.3">
      <c r="A6" s="3" t="s">
        <v>214</v>
      </c>
      <c r="B6" s="3">
        <v>0.5</v>
      </c>
      <c r="C6" s="10" t="str">
        <f>VLOOKUP(Recipe10161922495255109114117120123126129132135[[#This Row],[חומר גלם]],'חומרי גלם'!A:D,4,0)</f>
        <v>יחידות</v>
      </c>
      <c r="D6" s="11">
        <f>ROUNDUP(Recipe10161922495255109114117120123126129132135[[#This Row],[כמות במתכון]]*VLOOKUP(Recipe10161922495255109114117120123126129132135[[#This Row],[חומר גלם]],'חומרי גלם'!A:D,2,0)/VLOOKUP(Recipe10161922495255109114117120123126129132135[[#This Row],[חומר גלם]],'חומרי גלם'!A:D,3,0),2)</f>
        <v>7.5</v>
      </c>
    </row>
  </sheetData>
  <mergeCells count="2">
    <mergeCell ref="J2:J3"/>
    <mergeCell ref="K2:M2"/>
  </mergeCells>
  <dataValidations count="2">
    <dataValidation type="list" allowBlank="1" showInputMessage="1" showErrorMessage="1" sqref="A3:A6" xr:uid="{B2203727-F6D8-4A84-B2F1-B60B533C81B5}">
      <formula1>INDIRECT("Ingredients[חומר גלם]")</formula1>
    </dataValidation>
    <dataValidation type="list" allowBlank="1" showInputMessage="1" showErrorMessage="1" sqref="O3" xr:uid="{2EAAF47C-CF43-45C1-ADE2-7B4CE2C34997}">
      <formula1>INDIRECT("Packages[מוצר]")</formula1>
    </dataValidation>
  </dataValidations>
  <hyperlinks>
    <hyperlink ref="T1" location="ראשי!A1" display="חזרה לתפריט" xr:uid="{0D72A513-FAA4-42E3-9075-4B0C992C3166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0D658-BFD1-46D9-BB07-B13179ABA8CD}">
  <sheetPr>
    <tabColor theme="9"/>
  </sheetPr>
  <dimension ref="A1:T12"/>
  <sheetViews>
    <sheetView rightToLeft="1" workbookViewId="0">
      <selection activeCell="H9" sqref="H9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ROUNDUP(SUM(Recipe10161922495255109114117120123126129[עלות למתכון]),2)</f>
        <v>34.57</v>
      </c>
      <c r="F1" s="5" t="s">
        <v>9</v>
      </c>
      <c r="J1" s="5" t="s">
        <v>21</v>
      </c>
      <c r="O1" s="5" t="s">
        <v>20</v>
      </c>
      <c r="Q1" s="8">
        <f>SUM(SinglePack12182124515457111113116119122125128[עלות])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125</v>
      </c>
      <c r="C3" s="10" t="str">
        <f>VLOOKUP(Recipe10161922495255109114117120123126129[[#This Row],[חומר גלם]],'חומרי גלם'!A:D,4,0)</f>
        <v>גרם</v>
      </c>
      <c r="D3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5.63</v>
      </c>
      <c r="F3" s="3">
        <v>1</v>
      </c>
      <c r="G3" s="3">
        <v>50</v>
      </c>
      <c r="H3" s="10">
        <f>Work11172023505356110112115118121124127[[#This Row],[עלות לשעת עבודה]]*Work11172023505356110112115118121124127[[#This Row],[שעות עבודה]]</f>
        <v>50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ROUNDUP(VLOOKUP(SinglePack12182124515457111113116119122125128[[#This Row],[מוצר]],אריזות!A:C,2,0)/VLOOKUP(SinglePack12182124515457111113116119122125128[[#This Row],[מוצר]],אריזות!A:C,3,0)*SinglePack12182124515457111113116119122125128[[#This Row],[כמות]],2)</f>
        <v>4.5</v>
      </c>
      <c r="S3" s="15">
        <f>Q1+M4</f>
        <v>6.62</v>
      </c>
    </row>
    <row r="4" spans="1:20" ht="24.95" customHeight="1" thickTop="1" x14ac:dyDescent="0.3">
      <c r="A4" s="3" t="s">
        <v>117</v>
      </c>
      <c r="B4" s="3">
        <v>220</v>
      </c>
      <c r="C4" s="10" t="str">
        <f>VLOOKUP(Recipe10161922495255109114117120123126129[[#This Row],[חומר גלם]],'חומרי גלם'!A:D,4,0)</f>
        <v>גרם</v>
      </c>
      <c r="D4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7.15</v>
      </c>
      <c r="J4" s="16">
        <v>40</v>
      </c>
      <c r="K4" s="17">
        <f>ROUNDUP(D1/J4,2)</f>
        <v>0.87</v>
      </c>
      <c r="L4" s="17" cm="1">
        <f t="array" ref="L4">ROUNDUP(Work11172023505356110112115118121124127[עלות עבודה]/J4,2)</f>
        <v>1.25</v>
      </c>
      <c r="M4" s="8">
        <f>L4+K4</f>
        <v>2.12</v>
      </c>
    </row>
    <row r="5" spans="1:20" ht="24.95" customHeight="1" x14ac:dyDescent="0.3">
      <c r="A5" s="3" t="s">
        <v>98</v>
      </c>
      <c r="B5" s="3">
        <v>2</v>
      </c>
      <c r="C5" s="10" t="str">
        <f>VLOOKUP(Recipe10161922495255109114117120123126129[[#This Row],[חומר גלם]],'חומרי גלם'!A:D,4,0)</f>
        <v>יחידות</v>
      </c>
      <c r="D5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2.3299999999999996</v>
      </c>
    </row>
    <row r="6" spans="1:20" ht="24.95" customHeight="1" x14ac:dyDescent="0.3">
      <c r="A6" s="3" t="s">
        <v>48</v>
      </c>
      <c r="B6" s="3">
        <v>80</v>
      </c>
      <c r="C6" s="10" t="str">
        <f>VLOOKUP(Recipe10161922495255109114117120123126129[[#This Row],[חומר גלם]],'חומרי גלם'!A:D,4,0)</f>
        <v>גרם</v>
      </c>
      <c r="D6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0.42</v>
      </c>
    </row>
    <row r="7" spans="1:20" ht="24.95" customHeight="1" x14ac:dyDescent="0.3">
      <c r="A7" s="3" t="s">
        <v>50</v>
      </c>
      <c r="B7" s="3">
        <v>90</v>
      </c>
      <c r="C7" s="10" t="str">
        <f>VLOOKUP(Recipe10161922495255109114117120123126129[[#This Row],[חומר גלם]],'חומרי גלם'!A:D,4,0)</f>
        <v>גרם</v>
      </c>
      <c r="D7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1.17</v>
      </c>
    </row>
    <row r="8" spans="1:20" ht="24.95" customHeight="1" x14ac:dyDescent="0.3">
      <c r="A8" s="3" t="s">
        <v>54</v>
      </c>
      <c r="B8" s="3">
        <v>20</v>
      </c>
      <c r="C8" s="10" t="str">
        <f>VLOOKUP(Recipe10161922495255109114117120123126129[[#This Row],[חומר גלם]],'חומרי גלם'!A:D,4,0)</f>
        <v>גרם</v>
      </c>
      <c r="D8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0.87</v>
      </c>
    </row>
    <row r="9" spans="1:20" ht="24.95" customHeight="1" x14ac:dyDescent="0.3">
      <c r="A9" s="3" t="s">
        <v>152</v>
      </c>
      <c r="B9" s="3">
        <v>130</v>
      </c>
      <c r="C9" s="10" t="str">
        <f>VLOOKUP(Recipe10161922495255109114117120123126129[[#This Row],[חומר גלם]],'חומרי גלם'!A:D,4,0)</f>
        <v>גרם</v>
      </c>
      <c r="D9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1.8</v>
      </c>
    </row>
    <row r="10" spans="1:20" ht="24.95" customHeight="1" x14ac:dyDescent="0.3">
      <c r="A10" s="3" t="s">
        <v>214</v>
      </c>
      <c r="B10" s="3">
        <v>1</v>
      </c>
      <c r="C10" s="10" t="str">
        <f>VLOOKUP(Recipe10161922495255109114117120123126129[[#This Row],[חומר גלם]],'חומרי גלם'!A:D,4,0)</f>
        <v>יחידות</v>
      </c>
      <c r="D10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15</v>
      </c>
    </row>
    <row r="11" spans="1:20" ht="24.95" customHeight="1" x14ac:dyDescent="0.3">
      <c r="A11" s="3" t="s">
        <v>52</v>
      </c>
      <c r="B11" s="3">
        <v>3</v>
      </c>
      <c r="C11" s="10" t="str">
        <f>VLOOKUP(Recipe10161922495255109114117120123126129[[#This Row],[חומר גלם]],'חומרי גלם'!A:D,4,0)</f>
        <v>גרם</v>
      </c>
      <c r="D11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0.01</v>
      </c>
    </row>
    <row r="12" spans="1:20" ht="24.95" customHeight="1" x14ac:dyDescent="0.3">
      <c r="A12" s="3" t="s">
        <v>56</v>
      </c>
      <c r="B12" s="3">
        <v>10</v>
      </c>
      <c r="C12" s="10" t="str">
        <f>VLOOKUP(Recipe10161922495255109114117120123126129[[#This Row],[חומר גלם]],'חומרי גלם'!A:D,4,0)</f>
        <v>גרם</v>
      </c>
      <c r="D12" s="11">
        <f>ROUNDUP(Recipe10161922495255109114117120123126129[[#This Row],[כמות במתכון]]*VLOOKUP(Recipe10161922495255109114117120123126129[[#This Row],[חומר גלם]],'חומרי גלם'!A:D,2,0)/VLOOKUP(Recipe10161922495255109114117120123126129[[#This Row],[חומר גלם]],'חומרי גלם'!A:D,3,0),2)</f>
        <v>0.19</v>
      </c>
    </row>
  </sheetData>
  <mergeCells count="2">
    <mergeCell ref="J2:J3"/>
    <mergeCell ref="K2:M2"/>
  </mergeCells>
  <dataValidations count="2">
    <dataValidation type="list" allowBlank="1" showInputMessage="1" showErrorMessage="1" sqref="A3:A12" xr:uid="{4F81BE89-9666-466C-80EE-7643257533B9}">
      <formula1>INDIRECT("Ingredients[חומר גלם]")</formula1>
    </dataValidation>
    <dataValidation type="list" allowBlank="1" showInputMessage="1" showErrorMessage="1" sqref="O3" xr:uid="{FB0409F2-97DD-44FA-B0C2-F50369E0C5DB}">
      <formula1>INDIRECT("Packages[מוצר]")</formula1>
    </dataValidation>
  </dataValidations>
  <hyperlinks>
    <hyperlink ref="T1" location="ראשי!A1" display="חזרה לתפריט" xr:uid="{E0A6E69A-2599-44DC-B627-3C10F18CAEA7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E9660-6E48-47B2-B7DF-520626326057}">
  <sheetPr>
    <tabColor theme="9"/>
  </sheetPr>
  <dimension ref="A1:T7"/>
  <sheetViews>
    <sheetView rightToLeft="1" workbookViewId="0">
      <selection activeCell="J7" sqref="J7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ROUNDUP(SUM(Recipe10161922495255109114117120123126129132[עלות למתכון]),2)</f>
        <v>138.94</v>
      </c>
      <c r="F1" s="5" t="s">
        <v>9</v>
      </c>
      <c r="J1" s="5" t="s">
        <v>21</v>
      </c>
      <c r="O1" s="5" t="s">
        <v>20</v>
      </c>
      <c r="Q1" s="8">
        <f>SUM(SinglePack12182124515457111113116119122125128131[עלות])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98</v>
      </c>
      <c r="B3" s="3">
        <v>6</v>
      </c>
      <c r="C3" s="10" t="str">
        <f>VLOOKUP(Recipe10161922495255109114117120123126129132[[#This Row],[חומר גלם]],'חומרי גלם'!A:D,4,0)</f>
        <v>יחידות</v>
      </c>
      <c r="D3" s="11">
        <f>ROUNDUP(Recipe10161922495255109114117120123126129132[[#This Row],[כמות במתכון]]*VLOOKUP(Recipe10161922495255109114117120123126129132[[#This Row],[חומר גלם]],'חומרי גלם'!A:D,2,0)/VLOOKUP(Recipe10161922495255109114117120123126129132[[#This Row],[חומר גלם]],'חומרי גלם'!A:D,3,0),2)</f>
        <v>6.99</v>
      </c>
      <c r="F3" s="3">
        <v>2</v>
      </c>
      <c r="G3" s="3">
        <v>50</v>
      </c>
      <c r="H3" s="10">
        <f>Work11172023505356110112115118121124127130[[#This Row],[עלות לשעת עבודה]]*Work11172023505356110112115118121124127130[[#This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ROUNDUP(VLOOKUP(SinglePack12182124515457111113116119122125128131[[#This Row],[מוצר]],אריזות!A:C,2,0)/VLOOKUP(SinglePack12182124515457111113116119122125128131[[#This Row],[מוצר]],אריזות!A:C,3,0)*SinglePack12182124515457111113116119122125128131[[#This Row],[כמות]],2)</f>
        <v>4.5</v>
      </c>
      <c r="S3" s="15">
        <f>Q1+M4</f>
        <v>7.49</v>
      </c>
    </row>
    <row r="4" spans="1:20" ht="24.95" customHeight="1" thickTop="1" x14ac:dyDescent="0.3">
      <c r="A4" s="3" t="s">
        <v>48</v>
      </c>
      <c r="B4" s="3">
        <v>300</v>
      </c>
      <c r="C4" s="10" t="str">
        <f>VLOOKUP(Recipe10161922495255109114117120123126129132[[#This Row],[חומר גלם]],'חומרי גלם'!A:D,4,0)</f>
        <v>גרם</v>
      </c>
      <c r="D4" s="11">
        <f>ROUNDUP(Recipe10161922495255109114117120123126129132[[#This Row],[כמות במתכון]]*VLOOKUP(Recipe10161922495255109114117120123126129132[[#This Row],[חומר גלם]],'חומרי גלם'!A:D,2,0)/VLOOKUP(Recipe10161922495255109114117120123126129132[[#This Row],[חומר גלם]],'חומרי גלם'!A:D,3,0),2)</f>
        <v>1.56</v>
      </c>
      <c r="J4" s="16">
        <v>80</v>
      </c>
      <c r="K4" s="17">
        <f>ROUNDUP(D1/J4,2)</f>
        <v>1.74</v>
      </c>
      <c r="L4" s="17" cm="1">
        <f t="array" ref="L4">ROUNDUP(Work11172023505356110112115118121124127130[עלות עבודה]/J4,2)</f>
        <v>1.25</v>
      </c>
      <c r="M4" s="8">
        <f>L4+K4</f>
        <v>2.99</v>
      </c>
    </row>
    <row r="5" spans="1:20" ht="24.95" customHeight="1" x14ac:dyDescent="0.3">
      <c r="A5" s="3" t="s">
        <v>123</v>
      </c>
      <c r="B5" s="3">
        <v>5</v>
      </c>
      <c r="C5" s="10" t="str">
        <f>VLOOKUP(Recipe10161922495255109114117120123126129132[[#This Row],[חומר גלם]],'חומרי גלם'!A:D,4,0)</f>
        <v>גרם</v>
      </c>
      <c r="D5" s="11">
        <f>ROUNDUP(Recipe10161922495255109114117120123126129132[[#This Row],[כמות במתכון]]*VLOOKUP(Recipe10161922495255109114117120123126129132[[#This Row],[חומר גלם]],'חומרי גלם'!A:D,2,0)/VLOOKUP(Recipe10161922495255109114117120123126129132[[#This Row],[חומר גלם]],'חומרי גלם'!A:D,3,0),2)</f>
        <v>5.38</v>
      </c>
    </row>
    <row r="6" spans="1:20" ht="24.95" customHeight="1" x14ac:dyDescent="0.3">
      <c r="A6" s="3" t="s">
        <v>52</v>
      </c>
      <c r="B6" s="3">
        <v>0.1</v>
      </c>
      <c r="C6" s="10" t="str">
        <f>VLOOKUP(Recipe10161922495255109114117120123126129132[[#This Row],[חומר גלם]],'חומרי גלם'!A:D,4,0)</f>
        <v>גרם</v>
      </c>
      <c r="D6" s="11">
        <f>ROUNDUP(Recipe10161922495255109114117120123126129132[[#This Row],[כמות במתכון]]*VLOOKUP(Recipe10161922495255109114117120123126129132[[#This Row],[חומר גלם]],'חומרי גלם'!A:D,2,0)/VLOOKUP(Recipe10161922495255109114117120123126129132[[#This Row],[חומר גלם]],'חומרי גלם'!A:D,3,0),2)</f>
        <v>0.01</v>
      </c>
    </row>
    <row r="7" spans="1:20" ht="24.95" customHeight="1" x14ac:dyDescent="0.3">
      <c r="A7" s="3" t="s">
        <v>226</v>
      </c>
      <c r="B7" s="3">
        <v>5</v>
      </c>
      <c r="C7" s="10" t="str">
        <f>VLOOKUP(Recipe10161922495255109114117120123126129132[[#This Row],[חומר גלם]],'חומרי גלם'!A:D,4,0)</f>
        <v>יחידות</v>
      </c>
      <c r="D7" s="11">
        <f>ROUNDUP(Recipe10161922495255109114117120123126129132[[#This Row],[כמות במתכון]]*VLOOKUP(Recipe10161922495255109114117120123126129132[[#This Row],[חומר גלם]],'חומרי גלם'!A:D,2,0)/VLOOKUP(Recipe10161922495255109114117120123126129132[[#This Row],[חומר גלם]],'חומרי גלם'!A:D,3,0),2)</f>
        <v>125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00CFF289-1BE8-445E-9B01-E7150D319308}">
      <formula1>INDIRECT("Packages[מוצר]")</formula1>
    </dataValidation>
    <dataValidation type="list" allowBlank="1" showInputMessage="1" showErrorMessage="1" sqref="A3:A7" xr:uid="{512E94E0-DCFA-489F-91FF-2D1D610CF275}">
      <formula1>INDIRECT("Ingredients[חומר גלם]")</formula1>
    </dataValidation>
  </dataValidations>
  <hyperlinks>
    <hyperlink ref="T1" location="ראשי!A1" display="חזרה לתפריט" xr:uid="{D44DAFEA-0AC8-4995-A876-00EC183BDC85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E34F8-2E44-4E8D-843C-9D8F3FFA05E5}">
  <sheetPr>
    <tabColor theme="9"/>
  </sheetPr>
  <dimension ref="A1:T11"/>
  <sheetViews>
    <sheetView rightToLeft="1" workbookViewId="0">
      <selection activeCell="B10" sqref="B10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ROUNDUP(SUM(Recipe10161922495255109114117120123126[עלות למתכון]),2)</f>
        <v>41.45</v>
      </c>
      <c r="F1" s="5" t="s">
        <v>9</v>
      </c>
      <c r="J1" s="5" t="s">
        <v>21</v>
      </c>
      <c r="O1" s="5" t="s">
        <v>20</v>
      </c>
      <c r="Q1" s="8">
        <f>SUM(SinglePack12182124515457111113116119122125[עלות])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58</v>
      </c>
      <c r="B3" s="3">
        <v>50</v>
      </c>
      <c r="C3" s="10" t="str">
        <f>VLOOKUP(Recipe10161922495255109114117120123126[[#This Row],[חומר גלם]],'חומרי גלם'!A:D,4,0)</f>
        <v>גרם</v>
      </c>
      <c r="D3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0.5</v>
      </c>
      <c r="F3" s="3">
        <v>2</v>
      </c>
      <c r="G3" s="3">
        <v>50</v>
      </c>
      <c r="H3" s="10">
        <f>Work11172023505356110112115118121124[[#This Row],[עלות לשעת עבודה]]*Work11172023505356110112115118121124[[#This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ROUNDUP(VLOOKUP(SinglePack12182124515457111113116119122125[[#This Row],[מוצר]],אריזות!A:C,2,0)/VLOOKUP(SinglePack12182124515457111113116119122125[[#This Row],[מוצר]],אריזות!A:C,3,0)*SinglePack12182124515457111113116119122125[[#This Row],[כמות]],2)</f>
        <v>4.5</v>
      </c>
      <c r="S3" s="15">
        <f>Q1+M4</f>
        <v>8.0399999999999991</v>
      </c>
    </row>
    <row r="4" spans="1:20" ht="24.95" customHeight="1" thickTop="1" x14ac:dyDescent="0.3">
      <c r="A4" s="3" t="s">
        <v>97</v>
      </c>
      <c r="B4" s="3">
        <v>1</v>
      </c>
      <c r="C4" s="10" t="str">
        <f>VLOOKUP(Recipe10161922495255109114117120123126[[#This Row],[חומר גלם]],'חומרי גלם'!A:D,4,0)</f>
        <v>יחידות</v>
      </c>
      <c r="D4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1.08</v>
      </c>
      <c r="J4" s="16">
        <v>40</v>
      </c>
      <c r="K4" s="17">
        <f>ROUNDUP(D1/J4,2)</f>
        <v>1.04</v>
      </c>
      <c r="L4" s="17" cm="1">
        <f t="array" ref="L4">ROUNDUP(Work11172023505356110112115118121124[עלות עבודה]/J4,2)</f>
        <v>2.5</v>
      </c>
      <c r="M4" s="8">
        <f>L4+K4</f>
        <v>3.54</v>
      </c>
    </row>
    <row r="5" spans="1:20" ht="24.95" customHeight="1" x14ac:dyDescent="0.3">
      <c r="A5" s="3" t="s">
        <v>43</v>
      </c>
      <c r="B5" s="3">
        <v>135</v>
      </c>
      <c r="C5" s="10" t="str">
        <f>VLOOKUP(Recipe10161922495255109114117120123126[[#This Row],[חומר גלם]],'חומרי גלם'!A:D,4,0)</f>
        <v>גרם</v>
      </c>
      <c r="D5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1.17</v>
      </c>
    </row>
    <row r="6" spans="1:20" ht="24.95" customHeight="1" x14ac:dyDescent="0.3">
      <c r="A6" s="3" t="s">
        <v>152</v>
      </c>
      <c r="B6" s="3">
        <v>90</v>
      </c>
      <c r="C6" s="10" t="str">
        <f>VLOOKUP(Recipe10161922495255109114117120123126[[#This Row],[חומר גלם]],'חומרי גלם'!A:D,4,0)</f>
        <v>גרם</v>
      </c>
      <c r="D6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1.25</v>
      </c>
    </row>
    <row r="7" spans="1:20" ht="24.95" customHeight="1" x14ac:dyDescent="0.3">
      <c r="A7" s="3" t="s">
        <v>56</v>
      </c>
      <c r="B7" s="3">
        <v>5</v>
      </c>
      <c r="C7" s="10" t="str">
        <f>VLOOKUP(Recipe10161922495255109114117120123126[[#This Row],[חומר גלם]],'חומרי גלם'!A:D,4,0)</f>
        <v>גרם</v>
      </c>
      <c r="D7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9.9999999999999992E-2</v>
      </c>
    </row>
    <row r="8" spans="1:20" ht="24.95" customHeight="1" x14ac:dyDescent="0.3">
      <c r="A8" s="3" t="s">
        <v>155</v>
      </c>
      <c r="B8" s="3">
        <v>500</v>
      </c>
      <c r="C8" s="10" t="str">
        <f>VLOOKUP(Recipe10161922495255109114117120123126[[#This Row],[חומר גלם]],'חומרי גלם'!A:D,4,0)</f>
        <v>גרם</v>
      </c>
      <c r="D8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20</v>
      </c>
    </row>
    <row r="9" spans="1:20" ht="24.95" customHeight="1" x14ac:dyDescent="0.3">
      <c r="A9" s="3" t="s">
        <v>224</v>
      </c>
      <c r="B9" s="3">
        <v>200</v>
      </c>
      <c r="C9" s="10" t="str">
        <f>VLOOKUP(Recipe10161922495255109114117120123126[[#This Row],[חומר גלם]],'חומרי גלם'!A:D,4,0)</f>
        <v>גרם</v>
      </c>
      <c r="D9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11.98</v>
      </c>
    </row>
    <row r="10" spans="1:20" ht="24.95" customHeight="1" x14ac:dyDescent="0.3">
      <c r="A10" s="3" t="s">
        <v>73</v>
      </c>
      <c r="B10" s="3">
        <v>100</v>
      </c>
      <c r="C10" s="10" t="str">
        <f>VLOOKUP(Recipe10161922495255109114117120123126[[#This Row],[חומר גלם]],'חומרי גלם'!A:D,4,0)</f>
        <v>גרם</v>
      </c>
      <c r="D10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4.5</v>
      </c>
    </row>
    <row r="11" spans="1:20" ht="24.95" customHeight="1" x14ac:dyDescent="0.3">
      <c r="A11" s="3" t="s">
        <v>54</v>
      </c>
      <c r="B11" s="3">
        <v>20</v>
      </c>
      <c r="C11" s="10" t="str">
        <f>VLOOKUP(Recipe10161922495255109114117120123126[[#This Row],[חומר גלם]],'חומרי גלם'!A:D,4,0)</f>
        <v>גרם</v>
      </c>
      <c r="D11" s="11">
        <f>ROUNDUP(Recipe10161922495255109114117120123126[[#This Row],[כמות במתכון]]*VLOOKUP(Recipe10161922495255109114117120123126[[#This Row],[חומר גלם]],'חומרי גלם'!A:D,2,0)/VLOOKUP(Recipe10161922495255109114117120123126[[#This Row],[חומר גלם]],'חומרי גלם'!A:D,3,0),2)</f>
        <v>0.87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2D688123-3090-4D2C-9129-DB58B263C956}">
      <formula1>INDIRECT("Packages[מוצר]")</formula1>
    </dataValidation>
    <dataValidation type="list" allowBlank="1" showInputMessage="1" showErrorMessage="1" sqref="A3:A11" xr:uid="{750869CE-B9F7-400B-B6E6-3CC8A42E2B06}">
      <formula1>INDIRECT("Ingredients[חומר גלם]")</formula1>
    </dataValidation>
  </dataValidations>
  <hyperlinks>
    <hyperlink ref="T1" location="ראשי!A1" display="חזרה לתפריט" xr:uid="{9547C87A-5D2D-498B-AEA7-3814430364E9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44137-3B68-4DB8-9AB3-7BD97EB51EDF}">
  <sheetPr>
    <tabColor theme="9"/>
  </sheetPr>
  <dimension ref="A1:T10"/>
  <sheetViews>
    <sheetView rightToLeft="1" workbookViewId="0">
      <selection activeCell="B11" sqref="B11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ROUNDUP(SUM(Recipe10161922495255109114117120123[עלות למתכון]),2)</f>
        <v>28.87</v>
      </c>
      <c r="F1" s="5" t="s">
        <v>9</v>
      </c>
      <c r="J1" s="5" t="s">
        <v>21</v>
      </c>
      <c r="O1" s="5" t="s">
        <v>20</v>
      </c>
      <c r="Q1" s="8">
        <f>SUM(SinglePack12182124515457111113116119122[עלות])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58</v>
      </c>
      <c r="B3" s="3">
        <v>50</v>
      </c>
      <c r="C3" s="10" t="str">
        <f>VLOOKUP(Recipe10161922495255109114117120123[[#This Row],[חומר גלם]],'חומרי גלם'!A:D,4,0)</f>
        <v>גרם</v>
      </c>
      <c r="D3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0.5</v>
      </c>
      <c r="F3" s="3">
        <v>2</v>
      </c>
      <c r="G3" s="3">
        <v>50</v>
      </c>
      <c r="H3" s="10">
        <f>Work11172023505356110112115118121[[#This Row],[עלות לשעת עבודה]]*Work11172023505356110112115118121[[#This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ROUNDUP(VLOOKUP(SinglePack12182124515457111113116119122[[#This Row],[מוצר]],אריזות!A:C,2,0)/VLOOKUP(SinglePack12182124515457111113116119122[[#This Row],[מוצר]],אריזות!A:C,3,0)*SinglePack12182124515457111113116119122[[#This Row],[כמות]],2)</f>
        <v>4.5</v>
      </c>
      <c r="S3" s="15">
        <f>Q1+M4</f>
        <v>7.73</v>
      </c>
    </row>
    <row r="4" spans="1:20" ht="24.95" customHeight="1" thickTop="1" x14ac:dyDescent="0.3">
      <c r="A4" s="3" t="s">
        <v>97</v>
      </c>
      <c r="B4" s="3">
        <v>1</v>
      </c>
      <c r="C4" s="10" t="str">
        <f>VLOOKUP(Recipe10161922495255109114117120123[[#This Row],[חומר גלם]],'חומרי גלם'!A:D,4,0)</f>
        <v>יחידות</v>
      </c>
      <c r="D4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1.08</v>
      </c>
      <c r="J4" s="16">
        <v>40</v>
      </c>
      <c r="K4" s="17">
        <f>ROUNDUP(D1/J4,2)</f>
        <v>0.73</v>
      </c>
      <c r="L4" s="17" cm="1">
        <f t="array" ref="L4">ROUNDUP(Work11172023505356110112115118121[עלות עבודה]/J4,2)</f>
        <v>2.5</v>
      </c>
      <c r="M4" s="8">
        <f>L4+K4</f>
        <v>3.23</v>
      </c>
    </row>
    <row r="5" spans="1:20" ht="24.95" customHeight="1" x14ac:dyDescent="0.3">
      <c r="A5" s="3" t="s">
        <v>43</v>
      </c>
      <c r="B5" s="3">
        <v>155</v>
      </c>
      <c r="C5" s="10" t="str">
        <f>VLOOKUP(Recipe10161922495255109114117120123[[#This Row],[חומר גלם]],'חומרי גלם'!A:D,4,0)</f>
        <v>גרם</v>
      </c>
      <c r="D5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1.34</v>
      </c>
    </row>
    <row r="6" spans="1:20" ht="24.95" customHeight="1" x14ac:dyDescent="0.3">
      <c r="A6" s="3" t="s">
        <v>152</v>
      </c>
      <c r="B6" s="3">
        <v>90</v>
      </c>
      <c r="C6" s="10" t="str">
        <f>VLOOKUP(Recipe10161922495255109114117120123[[#This Row],[חומר גלם]],'חומרי גלם'!A:D,4,0)</f>
        <v>גרם</v>
      </c>
      <c r="D6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1.25</v>
      </c>
    </row>
    <row r="7" spans="1:20" ht="24.95" customHeight="1" x14ac:dyDescent="0.3">
      <c r="A7" s="3" t="s">
        <v>56</v>
      </c>
      <c r="B7" s="3">
        <v>5</v>
      </c>
      <c r="C7" s="10" t="str">
        <f>VLOOKUP(Recipe10161922495255109114117120123[[#This Row],[חומר גלם]],'חומרי גלם'!A:D,4,0)</f>
        <v>גרם</v>
      </c>
      <c r="D7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9.9999999999999992E-2</v>
      </c>
    </row>
    <row r="8" spans="1:20" ht="24.95" customHeight="1" x14ac:dyDescent="0.3">
      <c r="A8" s="3" t="s">
        <v>221</v>
      </c>
      <c r="B8" s="3">
        <v>500</v>
      </c>
      <c r="C8" s="10" t="str">
        <f>VLOOKUP(Recipe10161922495255109114117120123[[#This Row],[חומר גלם]],'חומרי גלם'!A:D,4,0)</f>
        <v>גרם</v>
      </c>
      <c r="D8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15.9</v>
      </c>
    </row>
    <row r="9" spans="1:20" ht="24.95" customHeight="1" x14ac:dyDescent="0.3">
      <c r="A9" s="3" t="s">
        <v>182</v>
      </c>
      <c r="B9" s="3">
        <v>150</v>
      </c>
      <c r="C9" s="10" t="str">
        <f>VLOOKUP(Recipe10161922495255109114117120123[[#This Row],[חומר גלם]],'חומרי גלם'!A:D,4,0)</f>
        <v>גרם</v>
      </c>
      <c r="D9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4.2</v>
      </c>
    </row>
    <row r="10" spans="1:20" ht="24.95" customHeight="1" x14ac:dyDescent="0.3">
      <c r="A10" s="3" t="s">
        <v>73</v>
      </c>
      <c r="B10" s="3">
        <v>100</v>
      </c>
      <c r="C10" s="10" t="str">
        <f>VLOOKUP(Recipe10161922495255109114117120123[[#This Row],[חומר גלם]],'חומרי גלם'!A:D,4,0)</f>
        <v>גרם</v>
      </c>
      <c r="D10" s="11">
        <f>ROUNDUP(Recipe10161922495255109114117120123[[#This Row],[כמות במתכון]]*VLOOKUP(Recipe10161922495255109114117120123[[#This Row],[חומר גלם]],'חומרי גלם'!A:D,2,0)/VLOOKUP(Recipe10161922495255109114117120123[[#This Row],[חומר גלם]],'חומרי גלם'!A:D,3,0),2)</f>
        <v>4.5</v>
      </c>
    </row>
  </sheetData>
  <mergeCells count="2">
    <mergeCell ref="J2:J3"/>
    <mergeCell ref="K2:M2"/>
  </mergeCells>
  <dataValidations count="2">
    <dataValidation type="list" allowBlank="1" showInputMessage="1" showErrorMessage="1" sqref="A3:A10" xr:uid="{CEC77CEC-A92D-4950-BDAC-D9B0392E17B7}">
      <formula1>INDIRECT("Ingredients[חומר גלם]")</formula1>
    </dataValidation>
    <dataValidation type="list" allowBlank="1" showInputMessage="1" showErrorMessage="1" sqref="O3" xr:uid="{BD5230F9-81F6-4817-8E29-1A0809FEE793}">
      <formula1>INDIRECT("Packages[מוצר]")</formula1>
    </dataValidation>
  </dataValidations>
  <hyperlinks>
    <hyperlink ref="T1" location="ראשי!A1" display="חזרה לתפריט" xr:uid="{7F11C18F-04D2-4772-972B-28F926F3A709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11035-F1BC-40BD-91DD-7B9589565535}">
  <sheetPr>
    <tabColor theme="9"/>
  </sheetPr>
  <dimension ref="A1:T9"/>
  <sheetViews>
    <sheetView rightToLeft="1" workbookViewId="0">
      <selection activeCell="A9" sqref="A9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ROUNDUP(SUM(Recipe10161922495255109114117120[עלות למתכון]),2)</f>
        <v>35.909999999999997</v>
      </c>
      <c r="F1" s="5" t="s">
        <v>9</v>
      </c>
      <c r="J1" s="5" t="s">
        <v>21</v>
      </c>
      <c r="O1" s="5" t="s">
        <v>20</v>
      </c>
      <c r="Q1" s="8">
        <f>SUM(SinglePack12182124515457111113116119[עלות])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48</v>
      </c>
      <c r="B3" s="3">
        <v>240</v>
      </c>
      <c r="C3" s="10" t="str">
        <f>VLOOKUP(Recipe10161922495255109114117120[[#This Row],[חומר גלם]],'חומרי גלם'!A:D,4,0)</f>
        <v>גרם</v>
      </c>
      <c r="D3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1.25</v>
      </c>
      <c r="F3" s="3">
        <v>0.4</v>
      </c>
      <c r="G3" s="3">
        <v>50</v>
      </c>
      <c r="H3" s="10">
        <f>Work11172023505356110112115118[[#This Row],[עלות לשעת עבודה]]*Work11172023505356110112115118[[#This Row],[שעות עבודה]]</f>
        <v>20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ROUNDUP(VLOOKUP(SinglePack12182124515457111113116119[[#This Row],[מוצר]],אריזות!A:C,2,0)/VLOOKUP(SinglePack12182124515457111113116119[[#This Row],[מוצר]],אריזות!A:C,3,0)*SinglePack12182124515457111113116119[[#This Row],[כמות]],2)</f>
        <v>4.5</v>
      </c>
      <c r="S3" s="15">
        <f>Q1+M4</f>
        <v>10.1</v>
      </c>
    </row>
    <row r="4" spans="1:20" ht="24.95" customHeight="1" thickTop="1" x14ac:dyDescent="0.3">
      <c r="A4" s="3" t="s">
        <v>97</v>
      </c>
      <c r="B4" s="3">
        <v>4</v>
      </c>
      <c r="C4" s="10" t="str">
        <f>VLOOKUP(Recipe10161922495255109114117120[[#This Row],[חומר גלם]],'חומרי גלם'!A:D,4,0)</f>
        <v>יחידות</v>
      </c>
      <c r="D4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4.3</v>
      </c>
      <c r="J4" s="16">
        <v>10</v>
      </c>
      <c r="K4" s="17">
        <f>ROUNDUP(D1/J4,2)</f>
        <v>3.5999999999999996</v>
      </c>
      <c r="L4" s="17" cm="1">
        <f t="array" ref="L4">ROUNDUP(Work11172023505356110112115118[עלות עבודה]/J4,2)</f>
        <v>2</v>
      </c>
      <c r="M4" s="8">
        <f>L4+K4</f>
        <v>5.6</v>
      </c>
    </row>
    <row r="5" spans="1:20" ht="24.95" customHeight="1" x14ac:dyDescent="0.3">
      <c r="A5" s="3" t="s">
        <v>47</v>
      </c>
      <c r="B5" s="3">
        <v>140</v>
      </c>
      <c r="C5" s="10" t="str">
        <f>VLOOKUP(Recipe10161922495255109114117120[[#This Row],[חומר גלם]],'חומרי גלם'!A:D,4,0)</f>
        <v>גרם</v>
      </c>
      <c r="D5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1.1100000000000001</v>
      </c>
    </row>
    <row r="6" spans="1:20" ht="24.95" customHeight="1" x14ac:dyDescent="0.3">
      <c r="A6" s="3" t="s">
        <v>63</v>
      </c>
      <c r="B6" s="3">
        <v>200</v>
      </c>
      <c r="C6" s="10" t="str">
        <f>VLOOKUP(Recipe10161922495255109114117120[[#This Row],[חומר גלם]],'חומרי גלם'!A:D,4,0)</f>
        <v>מיליליטר</v>
      </c>
      <c r="D6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2.98</v>
      </c>
    </row>
    <row r="7" spans="1:20" ht="24.95" customHeight="1" x14ac:dyDescent="0.3">
      <c r="A7" s="3" t="s">
        <v>220</v>
      </c>
      <c r="B7" s="3">
        <v>140</v>
      </c>
      <c r="C7" s="10" t="str">
        <f>VLOOKUP(Recipe10161922495255109114117120[[#This Row],[חומר גלם]],'חומרי גלם'!A:D,4,0)</f>
        <v>גרם</v>
      </c>
      <c r="D7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4.2</v>
      </c>
    </row>
    <row r="8" spans="1:20" ht="24.95" customHeight="1" x14ac:dyDescent="0.3">
      <c r="A8" s="3" t="s">
        <v>35</v>
      </c>
      <c r="B8" s="3">
        <v>250</v>
      </c>
      <c r="C8" s="10" t="str">
        <f>VLOOKUP(Recipe10161922495255109114117120[[#This Row],[חומר גלם]],'חומרי גלם'!A:D,4,0)</f>
        <v>גרם</v>
      </c>
      <c r="D8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7.07</v>
      </c>
    </row>
    <row r="9" spans="1:20" ht="24.95" customHeight="1" x14ac:dyDescent="0.3">
      <c r="A9" s="3" t="s">
        <v>214</v>
      </c>
      <c r="B9" s="3">
        <v>1</v>
      </c>
      <c r="C9" s="10" t="str">
        <f>VLOOKUP(Recipe10161922495255109114117120[[#This Row],[חומר גלם]],'חומרי גלם'!A:D,4,0)</f>
        <v>יחידות</v>
      </c>
      <c r="D9" s="11">
        <f>ROUNDUP(Recipe10161922495255109114117120[[#This Row],[כמות במתכון]]*VLOOKUP(Recipe10161922495255109114117120[[#This Row],[חומר גלם]],'חומרי גלם'!A:D,2,0)/VLOOKUP(Recipe10161922495255109114117120[[#This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6C268D61-B6EE-46D1-83DE-686E1B1B524D}">
      <formula1>INDIRECT("Packages[מוצר]")</formula1>
    </dataValidation>
    <dataValidation type="list" allowBlank="1" showInputMessage="1" showErrorMessage="1" sqref="A3:A9" xr:uid="{294E02DC-C4D5-4B37-8F02-0BA12CCA9781}">
      <formula1>INDIRECT("Ingredients[חומר גלם]")</formula1>
    </dataValidation>
  </dataValidations>
  <hyperlinks>
    <hyperlink ref="T1" location="ראשי!A1" display="חזרה לתפריט" xr:uid="{19AE742A-74A8-44F7-91A3-FB3F198C834D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53A18-D8AE-4888-ADE5-D3B62640C385}">
  <sheetPr>
    <tabColor theme="9"/>
  </sheetPr>
  <dimension ref="A1:T10"/>
  <sheetViews>
    <sheetView rightToLeft="1" workbookViewId="0">
      <selection activeCell="B9" sqref="B9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ROUNDUP(SUM(Recipe10161922495255109114117[עלות למתכון]),2)</f>
        <v>42.12</v>
      </c>
      <c r="F1" s="5" t="s">
        <v>9</v>
      </c>
      <c r="J1" s="5" t="s">
        <v>21</v>
      </c>
      <c r="O1" s="5" t="s">
        <v>20</v>
      </c>
      <c r="Q1" s="8">
        <f>SUM(SinglePack12182124515457111113116[עלות])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320</v>
      </c>
      <c r="C3" s="10" t="str">
        <f>VLOOKUP(Recipe10161922495255109114117[[#This Row],[חומר גלם]],'חומרי גלם'!A:D,4,0)</f>
        <v>גרם</v>
      </c>
      <c r="D3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2.76</v>
      </c>
      <c r="F3" s="3">
        <v>0.4</v>
      </c>
      <c r="G3" s="3">
        <v>50</v>
      </c>
      <c r="H3" s="10">
        <f>Work11172023505356110112115[[#This Row],[עלות לשעת עבודה]]*Work11172023505356110112115[[#This Row],[שעות עבודה]]</f>
        <v>20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ROUNDUP(VLOOKUP(SinglePack12182124515457111113116[[#This Row],[מוצר]],אריזות!A:C,2,0)/VLOOKUP(SinglePack12182124515457111113116[[#This Row],[מוצר]],אריזות!A:C,3,0)*SinglePack12182124515457111113116[[#This Row],[כמות]],2)</f>
        <v>4.5</v>
      </c>
      <c r="S3" s="15">
        <f>Q1+M4</f>
        <v>6.58</v>
      </c>
    </row>
    <row r="4" spans="1:20" ht="24.95" customHeight="1" thickTop="1" x14ac:dyDescent="0.3">
      <c r="A4" s="3" t="s">
        <v>58</v>
      </c>
      <c r="B4" s="3">
        <v>90</v>
      </c>
      <c r="C4" s="10" t="str">
        <f>VLOOKUP(Recipe10161922495255109114117[[#This Row],[חומר גלם]],'חומרי גלם'!A:D,4,0)</f>
        <v>גרם</v>
      </c>
      <c r="D4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0.9</v>
      </c>
      <c r="J4" s="16">
        <v>30</v>
      </c>
      <c r="K4" s="17">
        <f>ROUNDUP(D1/J4,2)</f>
        <v>1.41</v>
      </c>
      <c r="L4" s="17" cm="1">
        <f t="array" ref="L4">ROUNDUP(Work11172023505356110112115[עלות עבודה]/J4,2)</f>
        <v>0.67</v>
      </c>
      <c r="M4" s="8">
        <f>L4+K4</f>
        <v>2.08</v>
      </c>
    </row>
    <row r="5" spans="1:20" ht="24.95" customHeight="1" x14ac:dyDescent="0.3">
      <c r="A5" s="3" t="s">
        <v>73</v>
      </c>
      <c r="B5" s="3">
        <v>200</v>
      </c>
      <c r="C5" s="10" t="str">
        <f>VLOOKUP(Recipe10161922495255109114117[[#This Row],[חומר גלם]],'חומרי גלם'!A:D,4,0)</f>
        <v>גרם</v>
      </c>
      <c r="D5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9</v>
      </c>
    </row>
    <row r="6" spans="1:20" ht="24.95" customHeight="1" x14ac:dyDescent="0.3">
      <c r="A6" s="3" t="s">
        <v>98</v>
      </c>
      <c r="B6" s="3">
        <v>1</v>
      </c>
      <c r="C6" s="10" t="str">
        <f>VLOOKUP(Recipe10161922495255109114117[[#This Row],[חומר גלם]],'חומרי גלם'!A:D,4,0)</f>
        <v>יחידות</v>
      </c>
      <c r="D6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1.17</v>
      </c>
    </row>
    <row r="7" spans="1:20" ht="24.95" customHeight="1" x14ac:dyDescent="0.3">
      <c r="A7" s="3" t="s">
        <v>35</v>
      </c>
      <c r="B7" s="3">
        <v>10</v>
      </c>
      <c r="C7" s="10" t="str">
        <f>VLOOKUP(Recipe10161922495255109114117[[#This Row],[חומר גלם]],'חומרי גלם'!A:D,4,0)</f>
        <v>גרם</v>
      </c>
      <c r="D7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0.29000000000000004</v>
      </c>
    </row>
    <row r="8" spans="1:20" ht="24.95" customHeight="1" x14ac:dyDescent="0.3">
      <c r="A8" s="3" t="s">
        <v>145</v>
      </c>
      <c r="B8" s="3">
        <v>40</v>
      </c>
      <c r="C8" s="10" t="str">
        <f>VLOOKUP(Recipe10161922495255109114117[[#This Row],[חומר גלם]],'חומרי גלם'!A:D,4,0)</f>
        <v>גרם</v>
      </c>
      <c r="D8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2.4</v>
      </c>
    </row>
    <row r="9" spans="1:20" ht="24.95" customHeight="1" x14ac:dyDescent="0.3">
      <c r="A9" s="3" t="s">
        <v>164</v>
      </c>
      <c r="B9" s="3">
        <v>40</v>
      </c>
      <c r="C9" s="10" t="str">
        <f>VLOOKUP(Recipe10161922495255109114117[[#This Row],[חומר גלם]],'חומרי גלם'!A:D,4,0)</f>
        <v>גרם</v>
      </c>
      <c r="D9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5.6</v>
      </c>
    </row>
    <row r="10" spans="1:20" ht="24.95" customHeight="1" x14ac:dyDescent="0.3">
      <c r="A10" s="3" t="s">
        <v>215</v>
      </c>
      <c r="B10" s="3">
        <v>1</v>
      </c>
      <c r="C10" s="10" t="str">
        <f>VLOOKUP(Recipe10161922495255109114117[[#This Row],[חומר גלם]],'חומרי גלם'!A:D,4,0)</f>
        <v>יחידות</v>
      </c>
      <c r="D10" s="11">
        <f>ROUNDUP(Recipe10161922495255109114117[[#This Row],[כמות במתכון]]*VLOOKUP(Recipe10161922495255109114117[[#This Row],[חומר גלם]],'חומרי גלם'!A:D,2,0)/VLOOKUP(Recipe10161922495255109114117[[#This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A3:A10" xr:uid="{E4AB403B-3951-4E2F-908B-AFDF27EF5DC7}">
      <formula1>INDIRECT("Ingredients[חומר גלם]")</formula1>
    </dataValidation>
    <dataValidation type="list" allowBlank="1" showInputMessage="1" showErrorMessage="1" sqref="O3" xr:uid="{5EFFB668-3931-4C93-B549-7859C9303F6A}">
      <formula1>INDIRECT("Packages[מוצר]")</formula1>
    </dataValidation>
  </dataValidations>
  <hyperlinks>
    <hyperlink ref="T1" location="ראשי!A1" display="חזרה לתפריט" xr:uid="{26E2FB27-B631-46E2-8ADE-6169B60BEAD3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9C217-116B-4439-96C0-E86CCA7EFA1E}">
  <sheetPr>
    <tabColor theme="9"/>
  </sheetPr>
  <dimension ref="A1:T9"/>
  <sheetViews>
    <sheetView rightToLeft="1" workbookViewId="0">
      <selection activeCell="B9" sqref="B9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ROUNDUP(SUM(Recipe10161922495255109114[עלות למתכון]),2)</f>
        <v>35.65</v>
      </c>
      <c r="F1" s="5" t="s">
        <v>9</v>
      </c>
      <c r="J1" s="5" t="s">
        <v>21</v>
      </c>
      <c r="O1" s="5" t="s">
        <v>20</v>
      </c>
      <c r="Q1" s="8">
        <f>SUM(SinglePack12182124515457111113[עלות])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320</v>
      </c>
      <c r="C3" s="10" t="str">
        <f>VLOOKUP(Recipe10161922495255109114[[#This Row],[חומר גלם]],'חומרי גלם'!A:D,4,0)</f>
        <v>גרם</v>
      </c>
      <c r="D3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2.76</v>
      </c>
      <c r="F3" s="3">
        <v>0.4</v>
      </c>
      <c r="G3" s="3">
        <v>50</v>
      </c>
      <c r="H3" s="10">
        <f>Work11172023505356110112[[#This Row],[עלות לשעת עבודה]]*Work11172023505356110112[[#This Row],[שעות עבודה]]</f>
        <v>20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ROUNDUP(VLOOKUP(SinglePack12182124515457111113[[#This Row],[מוצר]],אריזות!A:C,2,0)/VLOOKUP(SinglePack12182124515457111113[[#This Row],[מוצר]],אריזות!A:C,3,0)*SinglePack12182124515457111113[[#This Row],[כמות]],2)</f>
        <v>4.5</v>
      </c>
      <c r="S3" s="15">
        <f>Q1+M4</f>
        <v>6.3599999999999994</v>
      </c>
    </row>
    <row r="4" spans="1:20" ht="24.95" customHeight="1" thickTop="1" x14ac:dyDescent="0.3">
      <c r="A4" s="3" t="s">
        <v>58</v>
      </c>
      <c r="B4" s="3">
        <v>90</v>
      </c>
      <c r="C4" s="10" t="str">
        <f>VLOOKUP(Recipe10161922495255109114[[#This Row],[חומר גלם]],'חומרי גלם'!A:D,4,0)</f>
        <v>גרם</v>
      </c>
      <c r="D4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0.9</v>
      </c>
      <c r="J4" s="16">
        <v>30</v>
      </c>
      <c r="K4" s="17">
        <f>ROUNDUP(D1/J4,2)</f>
        <v>1.19</v>
      </c>
      <c r="L4" s="17" cm="1">
        <f t="array" ref="L4">ROUNDUP(Work11172023505356110112[עלות עבודה]/J4,2)</f>
        <v>0.67</v>
      </c>
      <c r="M4" s="8">
        <f>L4+K4</f>
        <v>1.8599999999999999</v>
      </c>
    </row>
    <row r="5" spans="1:20" ht="24.95" customHeight="1" x14ac:dyDescent="0.3">
      <c r="A5" s="3" t="s">
        <v>73</v>
      </c>
      <c r="B5" s="3">
        <v>200</v>
      </c>
      <c r="C5" s="10" t="str">
        <f>VLOOKUP(Recipe10161922495255109114[[#This Row],[חומר גלם]],'חומרי גלם'!A:D,4,0)</f>
        <v>גרם</v>
      </c>
      <c r="D5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9</v>
      </c>
    </row>
    <row r="6" spans="1:20" ht="24.95" customHeight="1" x14ac:dyDescent="0.3">
      <c r="A6" s="3" t="s">
        <v>98</v>
      </c>
      <c r="B6" s="3">
        <v>1</v>
      </c>
      <c r="C6" s="10" t="str">
        <f>VLOOKUP(Recipe10161922495255109114[[#This Row],[חומר גלם]],'חומרי גלם'!A:D,4,0)</f>
        <v>יחידות</v>
      </c>
      <c r="D6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1.17</v>
      </c>
    </row>
    <row r="7" spans="1:20" ht="24.95" customHeight="1" x14ac:dyDescent="0.3">
      <c r="A7" s="3" t="s">
        <v>35</v>
      </c>
      <c r="B7" s="3">
        <v>10</v>
      </c>
      <c r="C7" s="10" t="str">
        <f>VLOOKUP(Recipe10161922495255109114[[#This Row],[חומר גלם]],'חומרי גלם'!A:D,4,0)</f>
        <v>גרם</v>
      </c>
      <c r="D7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0.29000000000000004</v>
      </c>
    </row>
    <row r="8" spans="1:20" ht="24.95" customHeight="1" x14ac:dyDescent="0.3">
      <c r="A8" s="3" t="s">
        <v>54</v>
      </c>
      <c r="B8" s="3">
        <v>35</v>
      </c>
      <c r="C8" s="10" t="str">
        <f>VLOOKUP(Recipe10161922495255109114[[#This Row],[חומר גלם]],'חומרי גלם'!A:D,4,0)</f>
        <v>גרם</v>
      </c>
      <c r="D8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1.53</v>
      </c>
    </row>
    <row r="9" spans="1:20" ht="24.95" customHeight="1" x14ac:dyDescent="0.3">
      <c r="A9" s="3" t="s">
        <v>215</v>
      </c>
      <c r="B9" s="3">
        <v>1</v>
      </c>
      <c r="C9" s="10" t="str">
        <f>VLOOKUP(Recipe10161922495255109114[[#This Row],[חומר גלם]],'חומרי גלם'!A:D,4,0)</f>
        <v>יחידות</v>
      </c>
      <c r="D9" s="11">
        <f>ROUNDUP(Recipe10161922495255109114[[#This Row],[כמות במתכון]]*VLOOKUP(Recipe10161922495255109114[[#This Row],[חומר גלם]],'חומרי גלם'!A:D,2,0)/VLOOKUP(Recipe10161922495255109114[[#This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E4083C06-E4C9-4B26-AFFA-7A47BAD89AED}">
      <formula1>INDIRECT("Packages[מוצר]")</formula1>
    </dataValidation>
    <dataValidation type="list" allowBlank="1" showInputMessage="1" showErrorMessage="1" sqref="A3:A9" xr:uid="{CEBA383B-3E62-4C3E-B95B-417D2BC36B1F}">
      <formula1>INDIRECT("Ingredients[חומר גלם]")</formula1>
    </dataValidation>
  </dataValidations>
  <hyperlinks>
    <hyperlink ref="T1" location="ראשי!A1" display="חזרה לתפריט" xr:uid="{11162FAC-BCA5-4712-A455-728A51E2C2EB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A87A0-81BA-407D-B594-C0C6946C3EEF}">
  <sheetPr>
    <tabColor theme="9"/>
  </sheetPr>
  <dimension ref="A1:T8"/>
  <sheetViews>
    <sheetView rightToLeft="1" workbookViewId="0">
      <selection activeCell="B10" sqref="B10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ROUNDUP(SUM(Recipe10161922495255109[עלות למתכון]),2)</f>
        <v>34.42</v>
      </c>
      <c r="F1" s="5" t="s">
        <v>9</v>
      </c>
      <c r="J1" s="5" t="s">
        <v>21</v>
      </c>
      <c r="O1" s="5" t="s">
        <v>20</v>
      </c>
      <c r="Q1" s="8">
        <f>SUM(SinglePack12182124515457111[עלות])</f>
        <v>4.5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350</v>
      </c>
      <c r="C3" s="10" t="str">
        <f>VLOOKUP(Recipe10161922495255109[[#This Row],[חומר גלם]],'חומרי גלם'!A:D,4,0)</f>
        <v>גרם</v>
      </c>
      <c r="D3" s="11">
        <f>ROUNDUP(Recipe10161922495255109[[#This Row],[כמות במתכון]]*VLOOKUP(Recipe10161922495255109[[#This Row],[חומר גלם]],'חומרי גלם'!A:D,2,0)/VLOOKUP(Recipe10161922495255109[[#This Row],[חומר גלם]],'חומרי גלם'!A:D,3,0),2)</f>
        <v>3.01</v>
      </c>
      <c r="F3" s="3">
        <v>0.4</v>
      </c>
      <c r="G3" s="3">
        <v>50</v>
      </c>
      <c r="H3" s="10">
        <f>Work11172023505356110[[#This Row],[עלות לשעת עבודה]]*Work11172023505356110[[#This Row],[שעות עבודה]]</f>
        <v>20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ROUNDUP(VLOOKUP(SinglePack12182124515457111[[#This Row],[מוצר]],אריזות!A:C,2,0)/VLOOKUP(SinglePack12182124515457111[[#This Row],[מוצר]],אריזות!A:C,3,0)*SinglePack12182124515457111[[#This Row],[כמות]],2)</f>
        <v>4.5</v>
      </c>
      <c r="S3" s="15">
        <f>Q1+M4</f>
        <v>6.32</v>
      </c>
    </row>
    <row r="4" spans="1:20" ht="24.95" customHeight="1" thickTop="1" x14ac:dyDescent="0.3">
      <c r="A4" s="3" t="s">
        <v>58</v>
      </c>
      <c r="B4" s="3">
        <v>95</v>
      </c>
      <c r="C4" s="10" t="str">
        <f>VLOOKUP(Recipe10161922495255109[[#This Row],[חומר גלם]],'חומרי גלם'!A:D,4,0)</f>
        <v>גרם</v>
      </c>
      <c r="D4" s="11">
        <f>ROUNDUP(Recipe10161922495255109[[#This Row],[כמות במתכון]]*VLOOKUP(Recipe10161922495255109[[#This Row],[חומר גלם]],'חומרי גלם'!A:D,2,0)/VLOOKUP(Recipe10161922495255109[[#This Row],[חומר גלם]],'חומרי גלם'!A:D,3,0),2)</f>
        <v>0.95</v>
      </c>
      <c r="J4" s="16">
        <v>30</v>
      </c>
      <c r="K4" s="17">
        <f>ROUNDUP(D1/J4,2)</f>
        <v>1.1499999999999999</v>
      </c>
      <c r="L4" s="17" cm="1">
        <f t="array" ref="L4">ROUNDUP(Work11172023505356110[עלות עבודה]/J4,2)</f>
        <v>0.67</v>
      </c>
      <c r="M4" s="8">
        <f>L4+K4</f>
        <v>1.8199999999999998</v>
      </c>
    </row>
    <row r="5" spans="1:20" ht="24.95" customHeight="1" x14ac:dyDescent="0.3">
      <c r="A5" s="3" t="s">
        <v>73</v>
      </c>
      <c r="B5" s="3">
        <v>200</v>
      </c>
      <c r="C5" s="10" t="str">
        <f>VLOOKUP(Recipe10161922495255109[[#This Row],[חומר גלם]],'חומרי גלם'!A:D,4,0)</f>
        <v>גרם</v>
      </c>
      <c r="D5" s="11">
        <f>ROUNDUP(Recipe10161922495255109[[#This Row],[כמות במתכון]]*VLOOKUP(Recipe10161922495255109[[#This Row],[חומר גלם]],'חומרי גלם'!A:D,2,0)/VLOOKUP(Recipe10161922495255109[[#This Row],[חומר גלם]],'חומרי גלם'!A:D,3,0),2)</f>
        <v>9</v>
      </c>
    </row>
    <row r="6" spans="1:20" ht="24.95" customHeight="1" x14ac:dyDescent="0.3">
      <c r="A6" s="3" t="s">
        <v>98</v>
      </c>
      <c r="B6" s="3">
        <v>1</v>
      </c>
      <c r="C6" s="10" t="str">
        <f>VLOOKUP(Recipe10161922495255109[[#This Row],[חומר גלם]],'חומרי גלם'!A:D,4,0)</f>
        <v>יחידות</v>
      </c>
      <c r="D6" s="11">
        <f>ROUNDUP(Recipe10161922495255109[[#This Row],[כמות במתכון]]*VLOOKUP(Recipe10161922495255109[[#This Row],[חומר גלם]],'חומרי גלם'!A:D,2,0)/VLOOKUP(Recipe10161922495255109[[#This Row],[חומר גלם]],'חומרי גלם'!A:D,3,0),2)</f>
        <v>1.17</v>
      </c>
    </row>
    <row r="7" spans="1:20" ht="24.95" customHeight="1" x14ac:dyDescent="0.3">
      <c r="A7" s="3" t="s">
        <v>35</v>
      </c>
      <c r="B7" s="3">
        <v>10</v>
      </c>
      <c r="C7" s="10" t="str">
        <f>VLOOKUP(Recipe10161922495255109[[#This Row],[חומר גלם]],'חומרי גלם'!A:D,4,0)</f>
        <v>גרם</v>
      </c>
      <c r="D7" s="11">
        <f>ROUNDUP(Recipe10161922495255109[[#This Row],[כמות במתכון]]*VLOOKUP(Recipe10161922495255109[[#This Row],[חומר גלם]],'חומרי גלם'!A:D,2,0)/VLOOKUP(Recipe10161922495255109[[#This Row],[חומר גלם]],'חומרי גלם'!A:D,3,0),2)</f>
        <v>0.29000000000000004</v>
      </c>
    </row>
    <row r="8" spans="1:20" ht="24.95" customHeight="1" x14ac:dyDescent="0.3">
      <c r="A8" s="3" t="s">
        <v>215</v>
      </c>
      <c r="B8" s="3">
        <v>1</v>
      </c>
      <c r="C8" s="10" t="str">
        <f>VLOOKUP(Recipe10161922495255109[[#This Row],[חומר גלם]],'חומרי גלם'!A:D,4,0)</f>
        <v>יחידות</v>
      </c>
      <c r="D8" s="11">
        <f>ROUNDUP(Recipe10161922495255109[[#This Row],[כמות במתכון]]*VLOOKUP(Recipe10161922495255109[[#This Row],[חומר גלם]],'חומרי גלם'!A:D,2,0)/VLOOKUP(Recipe10161922495255109[[#This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A3:A8" xr:uid="{24209AB0-A22D-4227-A03A-D95904A61147}">
      <formula1>INDIRECT("Ingredients[חומר גלם]")</formula1>
    </dataValidation>
    <dataValidation type="list" allowBlank="1" showInputMessage="1" showErrorMessage="1" sqref="O3" xr:uid="{5427CDAC-7A7C-470B-A8C3-F36CAA2CF80C}">
      <formula1>INDIRECT("Packages[מוצר]")</formula1>
    </dataValidation>
  </dataValidations>
  <hyperlinks>
    <hyperlink ref="T1" location="ראשי!A1" display="חזרה לתפריט" xr:uid="{73657AEA-2D73-4E92-B565-0AD2B6884D39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C9984-31EE-4711-91B1-7F62F543EA35}">
  <sheetPr>
    <tabColor theme="9"/>
  </sheetPr>
  <dimension ref="A1:T10"/>
  <sheetViews>
    <sheetView rightToLeft="1" workbookViewId="0">
      <selection activeCell="C15" sqref="C15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ROUNDUP(SUM(Recipe1058616467707376798285919497100103106[עלות למתכון]),2)</f>
        <v>33.69</v>
      </c>
      <c r="F1" s="5" t="s">
        <v>9</v>
      </c>
      <c r="J1" s="5" t="s">
        <v>21</v>
      </c>
      <c r="O1" s="5" t="s">
        <v>20</v>
      </c>
      <c r="Q1" s="8">
        <f>SUM(SinglePack1260636669727578818487939699102105108[עלות])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575</v>
      </c>
      <c r="C3" s="10" t="str">
        <f>VLOOKUP(Recipe1058616467707376798285919497100103106[[#This Row],[חומר גלם]],'חומרי גלם'!A:D,4,0)</f>
        <v>גרם</v>
      </c>
      <c r="D3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4.95</v>
      </c>
      <c r="F3" s="3">
        <v>0.4</v>
      </c>
      <c r="G3" s="3">
        <v>100</v>
      </c>
      <c r="H3" s="10">
        <f>Work1159626568717477808386929598101104107[[#This Row],[עלות לשעת עבודה]]*Work1159626568717477808386929598101104107[[#This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ROUNDUP(VLOOKUP(SinglePack1260636669727578818487939699102105108[[#This Row],[מוצר]],אריזות!A:C,2,0)/VLOOKUP(SinglePack1260636669727578818487939699102105108[[#This Row],[מוצר]],אריזות!A:C,3,0)*SinglePack1260636669727578818487939699102105108[[#This Row],[כמות]],2)</f>
        <v>3.5</v>
      </c>
      <c r="S3" s="15">
        <f>Q1+M4</f>
        <v>77.19</v>
      </c>
    </row>
    <row r="4" spans="1:20" ht="24.95" customHeight="1" thickTop="1" x14ac:dyDescent="0.3">
      <c r="A4" s="3" t="s">
        <v>48</v>
      </c>
      <c r="B4" s="3">
        <v>600</v>
      </c>
      <c r="C4" s="10" t="str">
        <f>VLOOKUP(Recipe1058616467707376798285919497100103106[[#This Row],[חומר גלם]],'חומרי גלם'!A:D,4,0)</f>
        <v>גרם</v>
      </c>
      <c r="D4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3.12</v>
      </c>
      <c r="J4" s="16">
        <v>1</v>
      </c>
      <c r="K4" s="17">
        <f>ROUNDUP(D1/J4,2)</f>
        <v>33.69</v>
      </c>
      <c r="L4" s="17" cm="1">
        <f t="array" ref="L4">ROUNDUP(Work1159626568717477808386929598101104107[עלות עבודה]/J4,2)</f>
        <v>40</v>
      </c>
      <c r="M4" s="8">
        <f>L4+K4</f>
        <v>73.69</v>
      </c>
    </row>
    <row r="5" spans="1:20" ht="24.95" customHeight="1" x14ac:dyDescent="0.3">
      <c r="A5" s="3" t="s">
        <v>202</v>
      </c>
      <c r="B5" s="3">
        <v>30</v>
      </c>
      <c r="C5" s="10" t="str">
        <f>VLOOKUP(Recipe1058616467707376798285919497100103106[[#This Row],[חומר גלם]],'חומרי גלם'!A:D,4,0)</f>
        <v>מיליליטר</v>
      </c>
      <c r="D5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0.21000000000000002</v>
      </c>
    </row>
    <row r="6" spans="1:20" ht="24.95" customHeight="1" x14ac:dyDescent="0.3">
      <c r="A6" s="3" t="s">
        <v>63</v>
      </c>
      <c r="B6" s="3">
        <v>265</v>
      </c>
      <c r="C6" s="10" t="str">
        <f>VLOOKUP(Recipe1058616467707376798285919497100103106[[#This Row],[חומר גלם]],'חומרי גלם'!A:D,4,0)</f>
        <v>מיליליטר</v>
      </c>
      <c r="D6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3.9499999999999997</v>
      </c>
    </row>
    <row r="7" spans="1:20" ht="24.95" customHeight="1" x14ac:dyDescent="0.3">
      <c r="A7" s="3" t="s">
        <v>54</v>
      </c>
      <c r="B7" s="3">
        <v>140</v>
      </c>
      <c r="C7" s="10" t="str">
        <f>VLOOKUP(Recipe1058616467707376798285919497100103106[[#This Row],[חומר גלם]],'חומרי גלם'!A:D,4,0)</f>
        <v>גרם</v>
      </c>
      <c r="D7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6.09</v>
      </c>
    </row>
    <row r="8" spans="1:20" ht="24.95" customHeight="1" x14ac:dyDescent="0.3">
      <c r="A8" s="3" t="s">
        <v>59</v>
      </c>
      <c r="B8" s="3">
        <v>6</v>
      </c>
      <c r="C8" s="10" t="str">
        <f>VLOOKUP(Recipe1058616467707376798285919497100103106[[#This Row],[חומר גלם]],'חומרי גלם'!A:D,4,0)</f>
        <v>גרם</v>
      </c>
      <c r="D8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0.36</v>
      </c>
    </row>
    <row r="9" spans="1:20" ht="24.95" customHeight="1" x14ac:dyDescent="0.3">
      <c r="A9" s="3" t="s">
        <v>52</v>
      </c>
      <c r="B9" s="3">
        <v>6</v>
      </c>
      <c r="C9" s="10" t="str">
        <f>VLOOKUP(Recipe1058616467707376798285919497100103106[[#This Row],[חומר גלם]],'חומרי גלם'!A:D,4,0)</f>
        <v>גרם</v>
      </c>
      <c r="D9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0.01</v>
      </c>
    </row>
    <row r="10" spans="1:20" ht="24.95" customHeight="1" x14ac:dyDescent="0.3">
      <c r="A10" s="3" t="s">
        <v>214</v>
      </c>
      <c r="B10" s="3">
        <v>1</v>
      </c>
      <c r="C10" s="10" t="str">
        <f>VLOOKUP(Recipe1058616467707376798285919497100103106[[#This Row],[חומר גלם]],'חומרי גלם'!A:D,4,0)</f>
        <v>יחידות</v>
      </c>
      <c r="D10" s="11">
        <f>ROUNDUP(Recipe1058616467707376798285919497100103106[[#This Row],[כמות במתכון]]*VLOOKUP(Recipe1058616467707376798285919497100103106[[#This Row],[חומר גלם]],'חומרי גלם'!A:D,2,0)/VLOOKUP(Recipe1058616467707376798285919497100103106[[#This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7DC4D09B-F546-4161-97E3-223CD2547EBD}">
      <formula1>INDIRECT("Packages[מוצר]")</formula1>
    </dataValidation>
    <dataValidation type="list" allowBlank="1" showInputMessage="1" showErrorMessage="1" sqref="A3:A10" xr:uid="{DE5CF5E4-0524-4FD7-A291-29AA0998AE10}">
      <formula1>INDIRECT("Ingredients[חומר גלם]")</formula1>
    </dataValidation>
  </dataValidations>
  <hyperlinks>
    <hyperlink ref="T1" location="ראשי!A1" display="חזרה לתפריט" xr:uid="{F71F074A-99E5-4352-82D8-B137CB9D680E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594FCC-22E3-4669-9E31-E84D37A2E1B6}">
  <sheetPr>
    <tabColor theme="9"/>
  </sheetPr>
  <dimension ref="A1:T10"/>
  <sheetViews>
    <sheetView rightToLeft="1" workbookViewId="0">
      <selection activeCell="B11" sqref="B11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ROUNDUP(SUM(Recipe1058616467707376798285919497100103[עלות למתכון]),2)</f>
        <v>36.51</v>
      </c>
      <c r="F1" s="5" t="s">
        <v>9</v>
      </c>
      <c r="J1" s="5" t="s">
        <v>21</v>
      </c>
      <c r="O1" s="5" t="s">
        <v>20</v>
      </c>
      <c r="Q1" s="8">
        <f>SUM(SinglePack1260636669727578818487939699102105[עלות])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97</v>
      </c>
      <c r="B3" s="3">
        <v>5</v>
      </c>
      <c r="C3" s="10" t="str">
        <f>VLOOKUP(Recipe1058616467707376798285919497100103[[#This Row],[חומר גלם]],'חומרי גלם'!A:D,4,0)</f>
        <v>יחידות</v>
      </c>
      <c r="D3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5.38</v>
      </c>
      <c r="F3" s="3">
        <v>0.4</v>
      </c>
      <c r="G3" s="3">
        <v>100</v>
      </c>
      <c r="H3" s="10">
        <f>Work1159626568717477808386929598101104[[#This Row],[עלות לשעת עבודה]]*Work1159626568717477808386929598101104[[#This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ROUNDUP(VLOOKUP(SinglePack1260636669727578818487939699102105[[#This Row],[מוצר]],אריזות!A:C,2,0)/VLOOKUP(SinglePack1260636669727578818487939699102105[[#This Row],[מוצר]],אריזות!A:C,3,0)*SinglePack1260636669727578818487939699102105[[#This Row],[כמות]],2)</f>
        <v>3.5</v>
      </c>
      <c r="S3" s="15">
        <f>Q1+M4</f>
        <v>80.009999999999991</v>
      </c>
    </row>
    <row r="4" spans="1:20" ht="24.95" customHeight="1" thickTop="1" x14ac:dyDescent="0.3">
      <c r="A4" s="3" t="s">
        <v>63</v>
      </c>
      <c r="B4" s="3">
        <v>200</v>
      </c>
      <c r="C4" s="10" t="str">
        <f>VLOOKUP(Recipe1058616467707376798285919497100103[[#This Row],[חומר גלם]],'חומרי גלם'!A:D,4,0)</f>
        <v>מיליליטר</v>
      </c>
      <c r="D4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2.98</v>
      </c>
      <c r="J4" s="16">
        <v>1</v>
      </c>
      <c r="K4" s="17">
        <f>ROUNDUP(D1/J4,2)</f>
        <v>36.51</v>
      </c>
      <c r="L4" s="17" cm="1">
        <f t="array" ref="L4">ROUNDUP(Work1159626568717477808386929598101104[עלות עבודה]/J4,2)</f>
        <v>40</v>
      </c>
      <c r="M4" s="8">
        <f>L4+K4</f>
        <v>76.509999999999991</v>
      </c>
    </row>
    <row r="5" spans="1:20" ht="24.95" customHeight="1" x14ac:dyDescent="0.3">
      <c r="A5" s="3" t="s">
        <v>43</v>
      </c>
      <c r="B5" s="3">
        <v>420</v>
      </c>
      <c r="C5" s="10" t="str">
        <f>VLOOKUP(Recipe1058616467707376798285919497100103[[#This Row],[חומר גלם]],'חומרי גלם'!A:D,4,0)</f>
        <v>גרם</v>
      </c>
      <c r="D5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3.6199999999999997</v>
      </c>
    </row>
    <row r="6" spans="1:20" ht="24.95" customHeight="1" x14ac:dyDescent="0.3">
      <c r="A6" s="3" t="s">
        <v>48</v>
      </c>
      <c r="B6" s="3">
        <v>400</v>
      </c>
      <c r="C6" s="10" t="str">
        <f>VLOOKUP(Recipe1058616467707376798285919497100103[[#This Row],[חומר גלם]],'חומרי גלם'!A:D,4,0)</f>
        <v>גרם</v>
      </c>
      <c r="D6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2.08</v>
      </c>
    </row>
    <row r="7" spans="1:20" ht="24.95" customHeight="1" x14ac:dyDescent="0.3">
      <c r="A7" s="3" t="s">
        <v>56</v>
      </c>
      <c r="B7" s="3">
        <v>20</v>
      </c>
      <c r="C7" s="10" t="str">
        <f>VLOOKUP(Recipe1058616467707376798285919497100103[[#This Row],[חומר גלם]],'חומרי גלם'!A:D,4,0)</f>
        <v>גרם</v>
      </c>
      <c r="D7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0.38</v>
      </c>
    </row>
    <row r="8" spans="1:20" ht="24.95" customHeight="1" x14ac:dyDescent="0.3">
      <c r="A8" s="3" t="s">
        <v>55</v>
      </c>
      <c r="B8" s="3">
        <v>10</v>
      </c>
      <c r="C8" s="10" t="str">
        <f>VLOOKUP(Recipe1058616467707376798285919497100103[[#This Row],[חומר גלם]],'חומרי גלם'!A:D,4,0)</f>
        <v>מיליליטר</v>
      </c>
      <c r="D8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0.98</v>
      </c>
    </row>
    <row r="9" spans="1:20" ht="24.95" customHeight="1" x14ac:dyDescent="0.3">
      <c r="A9" s="3" t="s">
        <v>54</v>
      </c>
      <c r="B9" s="3">
        <v>140</v>
      </c>
      <c r="C9" s="10" t="str">
        <f>VLOOKUP(Recipe1058616467707376798285919497100103[[#This Row],[חומר גלם]],'חומרי גלם'!A:D,4,0)</f>
        <v>גרם</v>
      </c>
      <c r="D9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6.09</v>
      </c>
    </row>
    <row r="10" spans="1:20" ht="24.95" customHeight="1" x14ac:dyDescent="0.3">
      <c r="A10" s="3" t="s">
        <v>214</v>
      </c>
      <c r="B10" s="3">
        <v>1</v>
      </c>
      <c r="C10" s="10" t="str">
        <f>VLOOKUP(Recipe1058616467707376798285919497100103[[#This Row],[חומר גלם]],'חומרי גלם'!A:D,4,0)</f>
        <v>יחידות</v>
      </c>
      <c r="D10" s="11">
        <f>ROUNDUP(Recipe1058616467707376798285919497100103[[#This Row],[כמות במתכון]]*VLOOKUP(Recipe1058616467707376798285919497100103[[#This Row],[חומר גלם]],'חומרי גלם'!A:D,2,0)/VLOOKUP(Recipe1058616467707376798285919497100103[[#This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0" xr:uid="{7B160918-D2EB-4BD4-8A1B-B5B16BD24535}">
      <formula1>INDIRECT("Ingredients[חומר גלם]")</formula1>
    </dataValidation>
    <dataValidation type="list" allowBlank="1" showInputMessage="1" showErrorMessage="1" sqref="O3" xr:uid="{E5889116-8E0C-41D2-874B-96604A38C4D4}">
      <formula1>INDIRECT("Packages[מוצר]")</formula1>
    </dataValidation>
  </dataValidations>
  <hyperlinks>
    <hyperlink ref="T1" location="ראשי!A1" display="חזרה לתפריט" xr:uid="{303460AE-79D6-422A-8F96-A3DA9513D293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6ABCB-AB93-4A5F-B64A-501185D1DE64}">
  <sheetPr>
    <tabColor theme="9"/>
  </sheetPr>
  <dimension ref="A1:T10"/>
  <sheetViews>
    <sheetView rightToLeft="1" workbookViewId="0">
      <selection activeCell="J4" sqref="J4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ROUNDUP(SUM(Recipe1058616467707376798285919497100[עלות למתכון]),2)</f>
        <v>36.369999999999997</v>
      </c>
      <c r="F1" s="5" t="s">
        <v>9</v>
      </c>
      <c r="J1" s="5" t="s">
        <v>21</v>
      </c>
      <c r="O1" s="5" t="s">
        <v>20</v>
      </c>
      <c r="Q1" s="8">
        <f>SUM(SinglePack1260636669727578818487939699102[עלות])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117</v>
      </c>
      <c r="B3" s="3">
        <v>150</v>
      </c>
      <c r="C3" s="10" t="str">
        <f>VLOOKUP(Recipe1058616467707376798285919497100[[#This Row],[חומר גלם]],'חומרי גלם'!A:D,4,0)</f>
        <v>גרם</v>
      </c>
      <c r="D3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4.88</v>
      </c>
      <c r="F3" s="3">
        <v>0.5</v>
      </c>
      <c r="G3" s="3">
        <v>100</v>
      </c>
      <c r="H3" s="10">
        <f>Work1159626568717477808386929598101[[#This Row],[עלות לשעת עבודה]]*Work1159626568717477808386929598101[[#This Row],[שעות עבודה]]</f>
        <v>50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ROUNDUP(VLOOKUP(SinglePack1260636669727578818487939699102[[#This Row],[מוצר]],אריזות!A:C,2,0)/VLOOKUP(SinglePack1260636669727578818487939699102[[#This Row],[מוצר]],אריזות!A:C,3,0)*SinglePack1260636669727578818487939699102[[#This Row],[כמות]],2)</f>
        <v>3.5</v>
      </c>
      <c r="S3" s="15">
        <f>Q1+M4</f>
        <v>89.87</v>
      </c>
    </row>
    <row r="4" spans="1:20" ht="24.95" customHeight="1" thickTop="1" x14ac:dyDescent="0.3">
      <c r="A4" s="3" t="s">
        <v>118</v>
      </c>
      <c r="B4" s="3">
        <v>100</v>
      </c>
      <c r="C4" s="10" t="str">
        <f>VLOOKUP(Recipe1058616467707376798285919497100[[#This Row],[חומר גלם]],'חומרי גלם'!A:D,4,0)</f>
        <v>גרם</v>
      </c>
      <c r="D4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3.75</v>
      </c>
      <c r="J4" s="16">
        <v>1</v>
      </c>
      <c r="K4" s="17">
        <f>ROUNDUP(D1/J4,2)</f>
        <v>36.369999999999997</v>
      </c>
      <c r="L4" s="17" cm="1">
        <f t="array" ref="L4">ROUNDUP(Work1159626568717477808386929598101[עלות עבודה]/J4,2)</f>
        <v>50</v>
      </c>
      <c r="M4" s="8">
        <f>L4+K4</f>
        <v>86.37</v>
      </c>
    </row>
    <row r="5" spans="1:20" ht="24.95" customHeight="1" x14ac:dyDescent="0.3">
      <c r="A5" s="3" t="s">
        <v>73</v>
      </c>
      <c r="B5" s="3">
        <v>170</v>
      </c>
      <c r="C5" s="10" t="str">
        <f>VLOOKUP(Recipe1058616467707376798285919497100[[#This Row],[חומר גלם]],'חומרי גלם'!A:D,4,0)</f>
        <v>גרם</v>
      </c>
      <c r="D5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7.65</v>
      </c>
    </row>
    <row r="6" spans="1:20" ht="24.95" customHeight="1" x14ac:dyDescent="0.3">
      <c r="A6" s="3" t="s">
        <v>48</v>
      </c>
      <c r="B6" s="3">
        <v>50</v>
      </c>
      <c r="C6" s="10" t="str">
        <f>VLOOKUP(Recipe1058616467707376798285919497100[[#This Row],[חומר גלם]],'חומרי גלם'!A:D,4,0)</f>
        <v>גרם</v>
      </c>
      <c r="D6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0.26</v>
      </c>
    </row>
    <row r="7" spans="1:20" ht="24.95" customHeight="1" x14ac:dyDescent="0.3">
      <c r="A7" s="3" t="s">
        <v>152</v>
      </c>
      <c r="B7" s="3">
        <v>80</v>
      </c>
      <c r="C7" s="10" t="str">
        <f>VLOOKUP(Recipe1058616467707376798285919497100[[#This Row],[חומר גלם]],'חומרי גלם'!A:D,4,0)</f>
        <v>גרם</v>
      </c>
      <c r="D7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1.1100000000000001</v>
      </c>
    </row>
    <row r="8" spans="1:20" ht="24.95" customHeight="1" x14ac:dyDescent="0.3">
      <c r="A8" s="3" t="s">
        <v>97</v>
      </c>
      <c r="B8" s="3">
        <v>3</v>
      </c>
      <c r="C8" s="10" t="str">
        <f>VLOOKUP(Recipe1058616467707376798285919497100[[#This Row],[חומר גלם]],'חומרי גלם'!A:D,4,0)</f>
        <v>יחידות</v>
      </c>
      <c r="D8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3.23</v>
      </c>
    </row>
    <row r="9" spans="1:20" ht="24.95" customHeight="1" x14ac:dyDescent="0.3">
      <c r="A9" s="3" t="s">
        <v>55</v>
      </c>
      <c r="B9" s="3">
        <v>5</v>
      </c>
      <c r="C9" s="10" t="str">
        <f>VLOOKUP(Recipe1058616467707376798285919497100[[#This Row],[חומר גלם]],'חומרי גלם'!A:D,4,0)</f>
        <v>מיליליטר</v>
      </c>
      <c r="D9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0.49</v>
      </c>
    </row>
    <row r="10" spans="1:20" ht="24.95" customHeight="1" x14ac:dyDescent="0.3">
      <c r="A10" s="3" t="s">
        <v>214</v>
      </c>
      <c r="B10" s="3">
        <v>1</v>
      </c>
      <c r="C10" s="10" t="str">
        <f>VLOOKUP(Recipe1058616467707376798285919497100[[#This Row],[חומר גלם]],'חומרי גלם'!A:D,4,0)</f>
        <v>יחידות</v>
      </c>
      <c r="D10" s="11">
        <f>ROUNDUP(Recipe1058616467707376798285919497100[[#This Row],[כמות במתכון]]*VLOOKUP(Recipe1058616467707376798285919497100[[#This Row],[חומר גלם]],'חומרי גלם'!A:D,2,0)/VLOOKUP(Recipe1058616467707376798285919497100[[#This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BB89E2C2-D2BD-43AB-9100-1182C94D8FAF}">
      <formula1>INDIRECT("Packages[מוצר]")</formula1>
    </dataValidation>
    <dataValidation type="list" allowBlank="1" showInputMessage="1" showErrorMessage="1" sqref="A3:A10" xr:uid="{F35A6AFB-C191-4D2D-8878-7B32B810EED1}">
      <formula1>INDIRECT("Ingredients[חומר גלם]")</formula1>
    </dataValidation>
  </dataValidations>
  <hyperlinks>
    <hyperlink ref="T1" location="ראשי!A1" display="חזרה לתפריט" xr:uid="{BAF36AD8-720B-4B01-BE5C-D8712F17163D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74CAC-76F6-4079-AD90-62D702C36124}">
  <sheetPr>
    <tabColor theme="9"/>
  </sheetPr>
  <dimension ref="A1:T18"/>
  <sheetViews>
    <sheetView rightToLeft="1" workbookViewId="0">
      <selection activeCell="L9" sqref="L9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ROUNDUP(SUM(Recipe1058616467707376798285919497[עלות למתכון]),2)</f>
        <v>108.01</v>
      </c>
      <c r="F1" s="5" t="s">
        <v>9</v>
      </c>
      <c r="J1" s="5" t="s">
        <v>21</v>
      </c>
      <c r="O1" s="5" t="s">
        <v>20</v>
      </c>
      <c r="Q1" s="8">
        <f>SUM(SinglePack1260636669727578818487939699[עלות])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170</v>
      </c>
      <c r="C3" s="10" t="str">
        <f>VLOOKUP(Recipe1058616467707376798285919497[[#This Row],[חומר גלם]],'חומרי גלם'!A:D,4,0)</f>
        <v>גרם</v>
      </c>
      <c r="D3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3.91</v>
      </c>
      <c r="F3" s="3">
        <v>2</v>
      </c>
      <c r="G3" s="3">
        <v>100</v>
      </c>
      <c r="H3" s="10">
        <f>Work1159626568717477808386929598[[#This Row],[עלות לשעת עבודה]]*Work1159626568717477808386929598[[#This Row],[שעות עבודה]]</f>
        <v>200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ROUNDUP(VLOOKUP(SinglePack1260636669727578818487939699[[#This Row],[מוצר]],אריזות!A:C,2,0)/VLOOKUP(SinglePack1260636669727578818487939699[[#This Row],[מוצר]],אריזות!A:C,3,0)*SinglePack1260636669727578818487939699[[#This Row],[כמות]],2)</f>
        <v>3.5</v>
      </c>
      <c r="S3" s="15">
        <f>Q1+M4</f>
        <v>311.51</v>
      </c>
    </row>
    <row r="4" spans="1:20" ht="24.95" customHeight="1" thickTop="1" x14ac:dyDescent="0.3">
      <c r="A4" s="3" t="s">
        <v>73</v>
      </c>
      <c r="B4" s="3">
        <v>80</v>
      </c>
      <c r="C4" s="10" t="str">
        <f>VLOOKUP(Recipe1058616467707376798285919497[[#This Row],[חומר גלם]],'חומרי גלם'!A:D,4,0)</f>
        <v>גרם</v>
      </c>
      <c r="D4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3.6</v>
      </c>
      <c r="J4" s="16">
        <v>1</v>
      </c>
      <c r="K4" s="17">
        <f>ROUNDUP(D1/J4,2)</f>
        <v>108.01</v>
      </c>
      <c r="L4" s="17" cm="1">
        <f t="array" ref="L4">ROUNDUP(Work1159626568717477808386929598[עלות עבודה]/J4,2)</f>
        <v>200</v>
      </c>
      <c r="M4" s="8">
        <f>L4+K4</f>
        <v>308.01</v>
      </c>
    </row>
    <row r="5" spans="1:20" ht="24.95" customHeight="1" x14ac:dyDescent="0.3">
      <c r="A5" s="3" t="s">
        <v>145</v>
      </c>
      <c r="B5" s="3">
        <v>50</v>
      </c>
      <c r="C5" s="10" t="str">
        <f>VLOOKUP(Recipe1058616467707376798285919497[[#This Row],[חומר גלם]],'חומרי גלם'!A:D,4,0)</f>
        <v>גרם</v>
      </c>
      <c r="D5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3</v>
      </c>
    </row>
    <row r="6" spans="1:20" ht="24.95" customHeight="1" x14ac:dyDescent="0.3">
      <c r="A6" s="3" t="s">
        <v>66</v>
      </c>
      <c r="B6" s="3">
        <v>75</v>
      </c>
      <c r="C6" s="10" t="str">
        <f>VLOOKUP(Recipe1058616467707376798285919497[[#This Row],[חומר גלם]],'חומרי גלם'!A:D,4,0)</f>
        <v>מיליליטר</v>
      </c>
      <c r="D6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0.52</v>
      </c>
    </row>
    <row r="7" spans="1:20" ht="24.95" customHeight="1" x14ac:dyDescent="0.3">
      <c r="A7" s="3" t="s">
        <v>42</v>
      </c>
      <c r="B7" s="3">
        <v>5</v>
      </c>
      <c r="C7" s="10" t="str">
        <f>VLOOKUP(Recipe1058616467707376798285919497[[#This Row],[חומר גלם]],'חומרי גלם'!A:D,4,0)</f>
        <v>גרם</v>
      </c>
      <c r="D7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0.85</v>
      </c>
    </row>
    <row r="8" spans="1:20" ht="24.95" customHeight="1" x14ac:dyDescent="0.3">
      <c r="A8" s="3" t="s">
        <v>35</v>
      </c>
      <c r="B8" s="3">
        <v>450</v>
      </c>
      <c r="C8" s="10" t="str">
        <f>VLOOKUP(Recipe1058616467707376798285919497[[#This Row],[חומר גלם]],'חומרי גלם'!A:D,4,0)</f>
        <v>גרם</v>
      </c>
      <c r="D8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12.73</v>
      </c>
    </row>
    <row r="9" spans="1:20" ht="24.95" customHeight="1" x14ac:dyDescent="0.3">
      <c r="A9" s="3" t="s">
        <v>119</v>
      </c>
      <c r="B9" s="3">
        <v>170</v>
      </c>
      <c r="C9" s="10" t="str">
        <f>VLOOKUP(Recipe1058616467707376798285919497[[#This Row],[חומר גלם]],'חומרי גלם'!A:D,4,0)</f>
        <v>גרם</v>
      </c>
      <c r="D9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6.38</v>
      </c>
    </row>
    <row r="10" spans="1:20" ht="24.95" customHeight="1" x14ac:dyDescent="0.3">
      <c r="A10" s="3" t="s">
        <v>42</v>
      </c>
      <c r="B10" s="3">
        <v>4</v>
      </c>
      <c r="C10" s="10" t="str">
        <f>VLOOKUP(Recipe1058616467707376798285919497[[#This Row],[חומר גלם]],'חומרי גלם'!A:D,4,0)</f>
        <v>גרם</v>
      </c>
      <c r="D10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0.68</v>
      </c>
    </row>
    <row r="11" spans="1:20" ht="24.95" customHeight="1" x14ac:dyDescent="0.3">
      <c r="A11" s="3" t="s">
        <v>35</v>
      </c>
      <c r="B11" s="3">
        <v>450</v>
      </c>
      <c r="C11" s="10" t="str">
        <f>VLOOKUP(Recipe1058616467707376798285919497[[#This Row],[חומר גלם]],'חומרי גלם'!A:D,4,0)</f>
        <v>גרם</v>
      </c>
      <c r="D11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12.73</v>
      </c>
    </row>
    <row r="12" spans="1:20" ht="24.95" customHeight="1" x14ac:dyDescent="0.3">
      <c r="A12" s="3" t="s">
        <v>118</v>
      </c>
      <c r="B12" s="3">
        <v>170</v>
      </c>
      <c r="C12" s="10" t="str">
        <f>VLOOKUP(Recipe1058616467707376798285919497[[#This Row],[חומר גלם]],'חומרי גלם'!A:D,4,0)</f>
        <v>גרם</v>
      </c>
      <c r="D12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6.38</v>
      </c>
    </row>
    <row r="13" spans="1:20" ht="24.95" customHeight="1" x14ac:dyDescent="0.3">
      <c r="A13" s="3" t="s">
        <v>42</v>
      </c>
      <c r="B13" s="3">
        <v>3</v>
      </c>
      <c r="C13" s="10" t="str">
        <f>VLOOKUP(Recipe1058616467707376798285919497[[#This Row],[חומר גלם]],'חומרי גלם'!A:D,4,0)</f>
        <v>גרם</v>
      </c>
      <c r="D13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0.51</v>
      </c>
    </row>
    <row r="14" spans="1:20" ht="24.95" customHeight="1" x14ac:dyDescent="0.3">
      <c r="A14" s="3" t="s">
        <v>35</v>
      </c>
      <c r="B14" s="3">
        <v>450</v>
      </c>
      <c r="C14" s="10" t="str">
        <f>VLOOKUP(Recipe1058616467707376798285919497[[#This Row],[חומר גלם]],'חומרי גלם'!A:D,4,0)</f>
        <v>גרם</v>
      </c>
      <c r="D14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12.73</v>
      </c>
    </row>
    <row r="15" spans="1:20" ht="24.95" customHeight="1" x14ac:dyDescent="0.3">
      <c r="A15" s="3" t="s">
        <v>117</v>
      </c>
      <c r="B15" s="3">
        <v>170</v>
      </c>
      <c r="C15" s="10" t="str">
        <f>VLOOKUP(Recipe1058616467707376798285919497[[#This Row],[חומר גלם]],'חומרי גלם'!A:D,4,0)</f>
        <v>גרם</v>
      </c>
      <c r="D15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5.5299999999999994</v>
      </c>
    </row>
    <row r="16" spans="1:20" ht="24.95" customHeight="1" x14ac:dyDescent="0.3">
      <c r="A16" s="3" t="s">
        <v>118</v>
      </c>
      <c r="B16" s="3">
        <v>150</v>
      </c>
      <c r="C16" s="10" t="str">
        <f>VLOOKUP(Recipe1058616467707376798285919497[[#This Row],[חומר גלם]],'חומרי גלם'!A:D,4,0)</f>
        <v>גרם</v>
      </c>
      <c r="D16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5.63</v>
      </c>
    </row>
    <row r="17" spans="1:4" ht="24.95" customHeight="1" x14ac:dyDescent="0.3">
      <c r="A17" s="3" t="s">
        <v>35</v>
      </c>
      <c r="B17" s="3">
        <v>100</v>
      </c>
      <c r="C17" s="10" t="str">
        <f>VLOOKUP(Recipe1058616467707376798285919497[[#This Row],[חומר גלם]],'חומרי גלם'!A:D,4,0)</f>
        <v>גרם</v>
      </c>
      <c r="D17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2.8299999999999996</v>
      </c>
    </row>
    <row r="18" spans="1:4" ht="24.95" customHeight="1" x14ac:dyDescent="0.3">
      <c r="A18" s="3" t="s">
        <v>216</v>
      </c>
      <c r="B18" s="3">
        <v>1</v>
      </c>
      <c r="C18" s="10" t="str">
        <f>VLOOKUP(Recipe1058616467707376798285919497[[#This Row],[חומר גלם]],'חומרי גלם'!A:D,4,0)</f>
        <v>יחידות</v>
      </c>
      <c r="D18" s="11">
        <f>ROUNDUP(Recipe1058616467707376798285919497[[#This Row],[כמות במתכון]]*VLOOKUP(Recipe1058616467707376798285919497[[#This Row],[חומר גלם]],'חומרי גלם'!A:D,2,0)/VLOOKUP(Recipe1058616467707376798285919497[[#This Row],[חומר גלם]],'חומרי גלם'!A:D,3,0),2)</f>
        <v>30</v>
      </c>
    </row>
  </sheetData>
  <mergeCells count="2">
    <mergeCell ref="J2:J3"/>
    <mergeCell ref="K2:M2"/>
  </mergeCells>
  <dataValidations count="2">
    <dataValidation type="list" allowBlank="1" showInputMessage="1" showErrorMessage="1" sqref="A3:A18" xr:uid="{E2B7DB2C-3838-4A22-90AC-33F96CF24061}">
      <formula1>INDIRECT("Ingredients[חומר גלם]")</formula1>
    </dataValidation>
    <dataValidation type="list" allowBlank="1" showInputMessage="1" showErrorMessage="1" sqref="O3" xr:uid="{720804CF-98F7-4BF8-BEEF-46B717C18890}">
      <formula1>INDIRECT("Packages[מוצר]")</formula1>
    </dataValidation>
  </dataValidations>
  <hyperlinks>
    <hyperlink ref="T1" location="ראשי!A1" display="חזרה לתפריט" xr:uid="{DEE4C6EA-4CC3-4788-A4FB-A7FC7B43102D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6EEF6-5179-45C8-9DD0-D7B450192F11}">
  <sheetPr>
    <tabColor theme="9"/>
  </sheetPr>
  <dimension ref="A1:T18"/>
  <sheetViews>
    <sheetView rightToLeft="1" workbookViewId="0">
      <selection activeCell="B19" sqref="B19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ROUNDUP(SUM(Recipe10586164677073767982859194[עלות למתכון]),2)</f>
        <v>96.16</v>
      </c>
      <c r="F1" s="5" t="s">
        <v>9</v>
      </c>
      <c r="J1" s="5" t="s">
        <v>21</v>
      </c>
      <c r="O1" s="5" t="s">
        <v>20</v>
      </c>
      <c r="Q1" s="8">
        <f>SUM(SinglePack12606366697275788184879396[עלות])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130</v>
      </c>
      <c r="C3" s="10" t="str">
        <f>VLOOKUP(Recipe10586164677073767982859194[[#This Row],[חומר גלם]],'חומרי גלם'!A:D,4,0)</f>
        <v>גרם</v>
      </c>
      <c r="D3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2.99</v>
      </c>
      <c r="F3" s="3">
        <v>2</v>
      </c>
      <c r="G3" s="3">
        <v>100</v>
      </c>
      <c r="H3" s="10">
        <f>Work11596265687174778083869295[[#This Row],[עלות לשעת עבודה]]*Work11596265687174778083869295[[#This Row],[שעות עבודה]]</f>
        <v>200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ROUNDUP(VLOOKUP(SinglePack12606366697275788184879396[[#This Row],[מוצר]],אריזות!A:C,2,0)/VLOOKUP(SinglePack12606366697275788184879396[[#This Row],[מוצר]],אריזות!A:C,3,0)*SinglePack12606366697275788184879396[[#This Row],[כמות]],2)</f>
        <v>3.5</v>
      </c>
      <c r="S3" s="15">
        <f>Q1+M4</f>
        <v>299.65999999999997</v>
      </c>
    </row>
    <row r="4" spans="1:20" ht="24.95" customHeight="1" thickTop="1" x14ac:dyDescent="0.3">
      <c r="A4" s="3" t="s">
        <v>73</v>
      </c>
      <c r="B4" s="3">
        <v>75</v>
      </c>
      <c r="C4" s="10" t="str">
        <f>VLOOKUP(Recipe10586164677073767982859194[[#This Row],[חומר גלם]],'חומרי גלם'!A:D,4,0)</f>
        <v>גרם</v>
      </c>
      <c r="D4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3.38</v>
      </c>
      <c r="J4" s="16">
        <v>1</v>
      </c>
      <c r="K4" s="17">
        <f>ROUNDUP(D1/J4,2)</f>
        <v>96.16</v>
      </c>
      <c r="L4" s="17" cm="1">
        <f t="array" ref="L4">ROUNDUP(Work11596265687174778083869295[עלות עבודה]/J4,2)</f>
        <v>200</v>
      </c>
      <c r="M4" s="8">
        <f>L4+K4</f>
        <v>296.15999999999997</v>
      </c>
    </row>
    <row r="5" spans="1:20" ht="24.95" customHeight="1" x14ac:dyDescent="0.3">
      <c r="A5" s="3" t="s">
        <v>145</v>
      </c>
      <c r="B5" s="3">
        <v>40</v>
      </c>
      <c r="C5" s="10" t="str">
        <f>VLOOKUP(Recipe10586164677073767982859194[[#This Row],[חומר גלם]],'חומרי גלם'!A:D,4,0)</f>
        <v>גרם</v>
      </c>
      <c r="D5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2.4</v>
      </c>
    </row>
    <row r="6" spans="1:20" ht="24.95" customHeight="1" x14ac:dyDescent="0.3">
      <c r="A6" s="3" t="s">
        <v>66</v>
      </c>
      <c r="B6" s="3">
        <v>60</v>
      </c>
      <c r="C6" s="10" t="str">
        <f>VLOOKUP(Recipe10586164677073767982859194[[#This Row],[חומר גלם]],'חומרי גלם'!A:D,4,0)</f>
        <v>מיליליטר</v>
      </c>
      <c r="D6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0.41000000000000003</v>
      </c>
    </row>
    <row r="7" spans="1:20" ht="24.95" customHeight="1" x14ac:dyDescent="0.3">
      <c r="A7" s="3" t="s">
        <v>42</v>
      </c>
      <c r="B7" s="3">
        <v>5</v>
      </c>
      <c r="C7" s="10" t="str">
        <f>VLOOKUP(Recipe10586164677073767982859194[[#This Row],[חומר גלם]],'חומרי גלם'!A:D,4,0)</f>
        <v>גרם</v>
      </c>
      <c r="D7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0.85</v>
      </c>
    </row>
    <row r="8" spans="1:20" ht="24.95" customHeight="1" x14ac:dyDescent="0.3">
      <c r="A8" s="3" t="s">
        <v>35</v>
      </c>
      <c r="B8" s="3">
        <v>450</v>
      </c>
      <c r="C8" s="10" t="str">
        <f>VLOOKUP(Recipe10586164677073767982859194[[#This Row],[חומר גלם]],'חומרי גלם'!A:D,4,0)</f>
        <v>גרם</v>
      </c>
      <c r="D8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12.73</v>
      </c>
    </row>
    <row r="9" spans="1:20" ht="24.95" customHeight="1" x14ac:dyDescent="0.3">
      <c r="A9" s="3" t="s">
        <v>119</v>
      </c>
      <c r="B9" s="3">
        <v>170</v>
      </c>
      <c r="C9" s="10" t="str">
        <f>VLOOKUP(Recipe10586164677073767982859194[[#This Row],[חומר גלם]],'חומרי גלם'!A:D,4,0)</f>
        <v>גרם</v>
      </c>
      <c r="D9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6.38</v>
      </c>
    </row>
    <row r="10" spans="1:20" ht="24.95" customHeight="1" x14ac:dyDescent="0.3">
      <c r="A10" s="3" t="s">
        <v>42</v>
      </c>
      <c r="B10" s="3">
        <v>4</v>
      </c>
      <c r="C10" s="10" t="str">
        <f>VLOOKUP(Recipe10586164677073767982859194[[#This Row],[חומר גלם]],'חומרי גלם'!A:D,4,0)</f>
        <v>גרם</v>
      </c>
      <c r="D10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0.68</v>
      </c>
    </row>
    <row r="11" spans="1:20" ht="24.95" customHeight="1" x14ac:dyDescent="0.3">
      <c r="A11" s="3" t="s">
        <v>35</v>
      </c>
      <c r="B11" s="3">
        <v>450</v>
      </c>
      <c r="C11" s="10" t="str">
        <f>VLOOKUP(Recipe10586164677073767982859194[[#This Row],[חומר גלם]],'חומרי גלם'!A:D,4,0)</f>
        <v>גרם</v>
      </c>
      <c r="D11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12.73</v>
      </c>
    </row>
    <row r="12" spans="1:20" ht="24.95" customHeight="1" x14ac:dyDescent="0.3">
      <c r="A12" s="3" t="s">
        <v>118</v>
      </c>
      <c r="B12" s="3">
        <v>170</v>
      </c>
      <c r="C12" s="10" t="str">
        <f>VLOOKUP(Recipe10586164677073767982859194[[#This Row],[חומר גלם]],'חומרי גלם'!A:D,4,0)</f>
        <v>גרם</v>
      </c>
      <c r="D12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6.38</v>
      </c>
    </row>
    <row r="13" spans="1:20" ht="24.95" customHeight="1" x14ac:dyDescent="0.3">
      <c r="A13" s="3" t="s">
        <v>42</v>
      </c>
      <c r="B13" s="3">
        <v>3</v>
      </c>
      <c r="C13" s="10" t="str">
        <f>VLOOKUP(Recipe10586164677073767982859194[[#This Row],[חומר גלם]],'חומרי גלם'!A:D,4,0)</f>
        <v>גרם</v>
      </c>
      <c r="D13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0.51</v>
      </c>
    </row>
    <row r="14" spans="1:20" ht="24.95" customHeight="1" x14ac:dyDescent="0.3">
      <c r="A14" s="3" t="s">
        <v>35</v>
      </c>
      <c r="B14" s="3">
        <v>450</v>
      </c>
      <c r="C14" s="10" t="str">
        <f>VLOOKUP(Recipe10586164677073767982859194[[#This Row],[חומר גלם]],'חומרי גלם'!A:D,4,0)</f>
        <v>גרם</v>
      </c>
      <c r="D14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12.73</v>
      </c>
    </row>
    <row r="15" spans="1:20" ht="24.95" customHeight="1" x14ac:dyDescent="0.3">
      <c r="A15" s="3" t="s">
        <v>117</v>
      </c>
      <c r="B15" s="3">
        <v>170</v>
      </c>
      <c r="C15" s="10" t="str">
        <f>VLOOKUP(Recipe10586164677073767982859194[[#This Row],[חומר גלם]],'חומרי גלם'!A:D,4,0)</f>
        <v>גרם</v>
      </c>
      <c r="D15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5.5299999999999994</v>
      </c>
    </row>
    <row r="16" spans="1:20" ht="24.95" customHeight="1" x14ac:dyDescent="0.3">
      <c r="A16" s="3" t="s">
        <v>118</v>
      </c>
      <c r="B16" s="3">
        <v>150</v>
      </c>
      <c r="C16" s="10" t="str">
        <f>VLOOKUP(Recipe10586164677073767982859194[[#This Row],[חומר גלם]],'חומרי גלם'!A:D,4,0)</f>
        <v>גרם</v>
      </c>
      <c r="D16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5.63</v>
      </c>
    </row>
    <row r="17" spans="1:4" ht="24.95" customHeight="1" x14ac:dyDescent="0.3">
      <c r="A17" s="3" t="s">
        <v>35</v>
      </c>
      <c r="B17" s="3">
        <v>100</v>
      </c>
      <c r="C17" s="10" t="str">
        <f>VLOOKUP(Recipe10586164677073767982859194[[#This Row],[חומר גלם]],'חומרי גלם'!A:D,4,0)</f>
        <v>גרם</v>
      </c>
      <c r="D17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2.8299999999999996</v>
      </c>
    </row>
    <row r="18" spans="1:4" ht="24.95" customHeight="1" x14ac:dyDescent="0.3">
      <c r="A18" s="3" t="s">
        <v>215</v>
      </c>
      <c r="B18" s="3">
        <v>1</v>
      </c>
      <c r="C18" s="10" t="str">
        <f>VLOOKUP(Recipe10586164677073767982859194[[#This Row],[חומר גלם]],'חומרי גלם'!A:D,4,0)</f>
        <v>יחידות</v>
      </c>
      <c r="D18" s="11">
        <f>ROUNDUP(Recipe10586164677073767982859194[[#This Row],[כמות במתכון]]*VLOOKUP(Recipe10586164677073767982859194[[#This Row],[חומר גלם]],'חומרי גלם'!A:D,2,0)/VLOOKUP(Recipe10586164677073767982859194[[#This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1A95694C-A000-465B-8096-1FC134CEA69E}">
      <formula1>INDIRECT("Packages[מוצר]")</formula1>
    </dataValidation>
    <dataValidation type="list" allowBlank="1" showInputMessage="1" showErrorMessage="1" sqref="A3:A18" xr:uid="{C3B6A275-46B7-4478-8C27-70B517CBBD96}">
      <formula1>INDIRECT("Ingredients[חומר גלם]")</formula1>
    </dataValidation>
  </dataValidations>
  <hyperlinks>
    <hyperlink ref="T1" location="ראשי!A1" display="חזרה לתפריט" xr:uid="{5AD11009-C557-477C-A9E9-229A17C8F458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DC25-F542-42C6-A595-2ACF56F9F1F4}">
  <sheetPr>
    <tabColor theme="9"/>
  </sheetPr>
  <dimension ref="A1:T18"/>
  <sheetViews>
    <sheetView rightToLeft="1" workbookViewId="0">
      <selection activeCell="B19" sqref="B19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ROUNDUP(SUM(Recipe105861646770737679828591[עלות למתכון]),2)</f>
        <v>89.54</v>
      </c>
      <c r="F1" s="5" t="s">
        <v>9</v>
      </c>
      <c r="J1" s="5" t="s">
        <v>21</v>
      </c>
      <c r="O1" s="5" t="s">
        <v>20</v>
      </c>
      <c r="Q1" s="8">
        <f>SUM(SinglePack126063666972757881848793[עלות])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90</v>
      </c>
      <c r="C3" s="10" t="str">
        <f>VLOOKUP(Recipe105861646770737679828591[[#This Row],[חומר גלם]],'חומרי גלם'!A:D,4,0)</f>
        <v>גרם</v>
      </c>
      <c r="D3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2.0699999999999998</v>
      </c>
      <c r="F3" s="3">
        <v>2</v>
      </c>
      <c r="G3" s="3">
        <v>100</v>
      </c>
      <c r="H3" s="10">
        <f>Work115962656871747780838692[[#This Row],[עלות לשעת עבודה]]*Work115962656871747780838692[[#This Row],[שעות עבודה]]</f>
        <v>200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ROUNDUP(VLOOKUP(SinglePack126063666972757881848793[[#This Row],[מוצר]],אריזות!A:C,2,0)/VLOOKUP(SinglePack126063666972757881848793[[#This Row],[מוצר]],אריזות!A:C,3,0)*SinglePack126063666972757881848793[[#This Row],[כמות]],2)</f>
        <v>3.5</v>
      </c>
      <c r="S3" s="15">
        <f>Q1+M4</f>
        <v>293.04000000000002</v>
      </c>
    </row>
    <row r="4" spans="1:20" ht="24.95" customHeight="1" thickTop="1" x14ac:dyDescent="0.3">
      <c r="A4" s="3" t="s">
        <v>73</v>
      </c>
      <c r="B4" s="3">
        <v>75</v>
      </c>
      <c r="C4" s="10" t="str">
        <f>VLOOKUP(Recipe105861646770737679828591[[#This Row],[חומר גלם]],'חומרי גלם'!A:D,4,0)</f>
        <v>גרם</v>
      </c>
      <c r="D4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3.38</v>
      </c>
      <c r="J4" s="16">
        <v>1</v>
      </c>
      <c r="K4" s="17">
        <f>ROUNDUP(D1/J4,2)</f>
        <v>89.54</v>
      </c>
      <c r="L4" s="17" cm="1">
        <f t="array" ref="L4">ROUNDUP(Work115962656871747780838692[עלות עבודה]/J4,2)</f>
        <v>200</v>
      </c>
      <c r="M4" s="8">
        <f>L4+K4</f>
        <v>289.54000000000002</v>
      </c>
    </row>
    <row r="5" spans="1:20" ht="24.95" customHeight="1" x14ac:dyDescent="0.3">
      <c r="A5" s="3" t="s">
        <v>145</v>
      </c>
      <c r="B5" s="3">
        <v>30</v>
      </c>
      <c r="C5" s="10" t="str">
        <f>VLOOKUP(Recipe105861646770737679828591[[#This Row],[חומר גלם]],'חומרי גלם'!A:D,4,0)</f>
        <v>גרם</v>
      </c>
      <c r="D5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1.8</v>
      </c>
    </row>
    <row r="6" spans="1:20" ht="24.95" customHeight="1" x14ac:dyDescent="0.3">
      <c r="A6" s="3" t="s">
        <v>66</v>
      </c>
      <c r="B6" s="3">
        <v>45</v>
      </c>
      <c r="C6" s="10" t="str">
        <f>VLOOKUP(Recipe105861646770737679828591[[#This Row],[חומר גלם]],'חומרי גלם'!A:D,4,0)</f>
        <v>מיליליטר</v>
      </c>
      <c r="D6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0.31</v>
      </c>
    </row>
    <row r="7" spans="1:20" ht="24.95" customHeight="1" x14ac:dyDescent="0.3">
      <c r="A7" s="3" t="s">
        <v>42</v>
      </c>
      <c r="B7" s="3">
        <v>5</v>
      </c>
      <c r="C7" s="10" t="str">
        <f>VLOOKUP(Recipe105861646770737679828591[[#This Row],[חומר גלם]],'חומרי גלם'!A:D,4,0)</f>
        <v>גרם</v>
      </c>
      <c r="D7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0.85</v>
      </c>
    </row>
    <row r="8" spans="1:20" ht="24.95" customHeight="1" x14ac:dyDescent="0.3">
      <c r="A8" s="3" t="s">
        <v>35</v>
      </c>
      <c r="B8" s="3">
        <v>450</v>
      </c>
      <c r="C8" s="10" t="str">
        <f>VLOOKUP(Recipe105861646770737679828591[[#This Row],[חומר גלם]],'חומרי גלם'!A:D,4,0)</f>
        <v>גרם</v>
      </c>
      <c r="D8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12.73</v>
      </c>
    </row>
    <row r="9" spans="1:20" ht="24.95" customHeight="1" x14ac:dyDescent="0.3">
      <c r="A9" s="3" t="s">
        <v>119</v>
      </c>
      <c r="B9" s="3">
        <v>170</v>
      </c>
      <c r="C9" s="10" t="str">
        <f>VLOOKUP(Recipe105861646770737679828591[[#This Row],[חומר גלם]],'חומרי גלם'!A:D,4,0)</f>
        <v>גרם</v>
      </c>
      <c r="D9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6.38</v>
      </c>
    </row>
    <row r="10" spans="1:20" ht="24.95" customHeight="1" x14ac:dyDescent="0.3">
      <c r="A10" s="3" t="s">
        <v>42</v>
      </c>
      <c r="B10" s="3">
        <v>4</v>
      </c>
      <c r="C10" s="10" t="str">
        <f>VLOOKUP(Recipe105861646770737679828591[[#This Row],[חומר גלם]],'חומרי גלם'!A:D,4,0)</f>
        <v>גרם</v>
      </c>
      <c r="D10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0.68</v>
      </c>
    </row>
    <row r="11" spans="1:20" ht="24.95" customHeight="1" x14ac:dyDescent="0.3">
      <c r="A11" s="3" t="s">
        <v>35</v>
      </c>
      <c r="B11" s="3">
        <v>450</v>
      </c>
      <c r="C11" s="10" t="str">
        <f>VLOOKUP(Recipe105861646770737679828591[[#This Row],[חומר גלם]],'חומרי גלם'!A:D,4,0)</f>
        <v>גרם</v>
      </c>
      <c r="D11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12.73</v>
      </c>
    </row>
    <row r="12" spans="1:20" ht="24.95" customHeight="1" x14ac:dyDescent="0.3">
      <c r="A12" s="3" t="s">
        <v>118</v>
      </c>
      <c r="B12" s="3">
        <v>170</v>
      </c>
      <c r="C12" s="10" t="str">
        <f>VLOOKUP(Recipe105861646770737679828591[[#This Row],[חומר גלם]],'חומרי גלם'!A:D,4,0)</f>
        <v>גרם</v>
      </c>
      <c r="D12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6.38</v>
      </c>
    </row>
    <row r="13" spans="1:20" ht="24.95" customHeight="1" x14ac:dyDescent="0.3">
      <c r="A13" s="3" t="s">
        <v>42</v>
      </c>
      <c r="B13" s="3">
        <v>3</v>
      </c>
      <c r="C13" s="10" t="str">
        <f>VLOOKUP(Recipe105861646770737679828591[[#This Row],[חומר גלם]],'חומרי גלם'!A:D,4,0)</f>
        <v>גרם</v>
      </c>
      <c r="D13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0.51</v>
      </c>
    </row>
    <row r="14" spans="1:20" ht="24.95" customHeight="1" x14ac:dyDescent="0.3">
      <c r="A14" s="3" t="s">
        <v>35</v>
      </c>
      <c r="B14" s="3">
        <v>450</v>
      </c>
      <c r="C14" s="10" t="str">
        <f>VLOOKUP(Recipe105861646770737679828591[[#This Row],[חומר גלם]],'חומרי גלם'!A:D,4,0)</f>
        <v>גרם</v>
      </c>
      <c r="D14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12.73</v>
      </c>
    </row>
    <row r="15" spans="1:20" ht="24.95" customHeight="1" x14ac:dyDescent="0.3">
      <c r="A15" s="3" t="s">
        <v>117</v>
      </c>
      <c r="B15" s="3">
        <v>170</v>
      </c>
      <c r="C15" s="10" t="str">
        <f>VLOOKUP(Recipe105861646770737679828591[[#This Row],[חומר גלם]],'חומרי גלם'!A:D,4,0)</f>
        <v>גרם</v>
      </c>
      <c r="D15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5.5299999999999994</v>
      </c>
    </row>
    <row r="16" spans="1:20" ht="24.95" customHeight="1" x14ac:dyDescent="0.3">
      <c r="A16" s="3" t="s">
        <v>118</v>
      </c>
      <c r="B16" s="3">
        <v>150</v>
      </c>
      <c r="C16" s="10" t="str">
        <f>VLOOKUP(Recipe105861646770737679828591[[#This Row],[חומר גלם]],'חומרי גלם'!A:D,4,0)</f>
        <v>גרם</v>
      </c>
      <c r="D16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5.63</v>
      </c>
    </row>
    <row r="17" spans="1:4" ht="24.95" customHeight="1" x14ac:dyDescent="0.3">
      <c r="A17" s="3" t="s">
        <v>35</v>
      </c>
      <c r="B17" s="3">
        <v>100</v>
      </c>
      <c r="C17" s="10" t="str">
        <f>VLOOKUP(Recipe105861646770737679828591[[#This Row],[חומר גלם]],'חומרי גלם'!A:D,4,0)</f>
        <v>גרם</v>
      </c>
      <c r="D17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2.8299999999999996</v>
      </c>
    </row>
    <row r="18" spans="1:4" ht="24.95" customHeight="1" x14ac:dyDescent="0.3">
      <c r="A18" s="3" t="s">
        <v>214</v>
      </c>
      <c r="B18" s="3">
        <v>1</v>
      </c>
      <c r="C18" s="10" t="str">
        <f>VLOOKUP(Recipe105861646770737679828591[[#This Row],[חומר גלם]],'חומרי גלם'!A:D,4,0)</f>
        <v>יחידות</v>
      </c>
      <c r="D18" s="11">
        <f>ROUNDUP(Recipe105861646770737679828591[[#This Row],[כמות במתכון]]*VLOOKUP(Recipe105861646770737679828591[[#This Row],[חומר גלם]],'חומרי גלם'!A:D,2,0)/VLOOKUP(Recipe105861646770737679828591[[#This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8" xr:uid="{1E6E7C32-6887-4355-9905-97A127B75016}">
      <formula1>INDIRECT("Ingredients[חומר גלם]")</formula1>
    </dataValidation>
    <dataValidation type="list" allowBlank="1" showInputMessage="1" showErrorMessage="1" sqref="O3" xr:uid="{36564C50-9039-4D6F-B6A0-F7D672538690}">
      <formula1>INDIRECT("Packages[מוצר]")</formula1>
    </dataValidation>
  </dataValidations>
  <hyperlinks>
    <hyperlink ref="T1" location="ראשי!A1" display="חזרה לתפריט" xr:uid="{253D6415-F9C1-4D6C-99D0-E2650BB0E5FE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7C57C-1205-4A56-996D-8B76B7A13E13}">
  <sheetPr>
    <tabColor theme="9"/>
  </sheetPr>
  <dimension ref="A1:T11"/>
  <sheetViews>
    <sheetView rightToLeft="1" workbookViewId="0">
      <selection activeCell="H15" sqref="H15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ROUNDUP(SUM(Recipe1058616467707376798285[עלות למתכון]),2)</f>
        <v>29.39</v>
      </c>
      <c r="F1" s="5" t="s">
        <v>9</v>
      </c>
      <c r="J1" s="5" t="s">
        <v>21</v>
      </c>
      <c r="O1" s="5" t="s">
        <v>20</v>
      </c>
      <c r="Q1" s="8">
        <f>SUM(SinglePack1260636669727578818487[עלות])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130</v>
      </c>
      <c r="C3" s="10" t="str">
        <f>VLOOKUP(Recipe1058616467707376798285[[#This Row],[חומר גלם]],'חומרי גלם'!A:D,4,0)</f>
        <v>גרם</v>
      </c>
      <c r="D3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1.1200000000000001</v>
      </c>
      <c r="F3" s="3">
        <v>1</v>
      </c>
      <c r="G3" s="3">
        <v>100</v>
      </c>
      <c r="H3" s="10">
        <f>Work1159626568717477808386[[#This Row],[עלות לשעת עבודה]]*Work1159626568717477808386[[#This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ROUNDUP(VLOOKUP(SinglePack1260636669727578818487[[#This Row],[מוצר]],אריזות!A:C,2,0)/VLOOKUP(SinglePack1260636669727578818487[[#This Row],[מוצר]],אריזות!A:C,3,0)*SinglePack1260636669727578818487[[#This Row],[כמות]],2)</f>
        <v>3.5</v>
      </c>
      <c r="S3" s="15">
        <f>Q1+M4</f>
        <v>8.3000000000000007</v>
      </c>
    </row>
    <row r="4" spans="1:20" ht="24.95" customHeight="1" thickTop="1" x14ac:dyDescent="0.3">
      <c r="A4" s="3" t="s">
        <v>56</v>
      </c>
      <c r="B4" s="3">
        <v>4.5</v>
      </c>
      <c r="C4" s="10" t="str">
        <f>VLOOKUP(Recipe1058616467707376798285[[#This Row],[חומר גלם]],'חומרי גלם'!A:D,4,0)</f>
        <v>גרם</v>
      </c>
      <c r="D4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0.09</v>
      </c>
      <c r="J4" s="16">
        <v>27</v>
      </c>
      <c r="K4" s="17">
        <f>ROUNDUP(D1/J4,2)</f>
        <v>1.0900000000000001</v>
      </c>
      <c r="L4" s="17" cm="1">
        <f t="array" ref="L4">ROUNDUP(Work1159626568717477808386[עלות עבודה]/J4,2)</f>
        <v>3.71</v>
      </c>
      <c r="M4" s="8">
        <f>L4+K4</f>
        <v>4.8</v>
      </c>
    </row>
    <row r="5" spans="1:20" ht="24.95" customHeight="1" x14ac:dyDescent="0.3">
      <c r="A5" s="3" t="s">
        <v>48</v>
      </c>
      <c r="B5" s="3">
        <v>110</v>
      </c>
      <c r="C5" s="10" t="str">
        <f>VLOOKUP(Recipe1058616467707376798285[[#This Row],[חומר גלם]],'חומרי גלם'!A:D,4,0)</f>
        <v>גרם</v>
      </c>
      <c r="D5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0.57999999999999996</v>
      </c>
    </row>
    <row r="6" spans="1:20" ht="24.95" customHeight="1" x14ac:dyDescent="0.3">
      <c r="A6" s="3" t="s">
        <v>98</v>
      </c>
      <c r="B6" s="3">
        <v>1</v>
      </c>
      <c r="C6" s="10" t="str">
        <f>VLOOKUP(Recipe1058616467707376798285[[#This Row],[חומר גלם]],'חומרי גלם'!A:D,4,0)</f>
        <v>יחידות</v>
      </c>
      <c r="D6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1.17</v>
      </c>
    </row>
    <row r="7" spans="1:20" ht="24.95" customHeight="1" x14ac:dyDescent="0.3">
      <c r="A7" s="3" t="s">
        <v>66</v>
      </c>
      <c r="B7" s="3">
        <v>160</v>
      </c>
      <c r="C7" s="10" t="str">
        <f>VLOOKUP(Recipe1058616467707376798285[[#This Row],[חומר גלם]],'חומרי גלם'!A:D,4,0)</f>
        <v>מיליליטר</v>
      </c>
      <c r="D7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1.0900000000000001</v>
      </c>
    </row>
    <row r="8" spans="1:20" ht="24.95" customHeight="1" x14ac:dyDescent="0.3">
      <c r="A8" s="3" t="s">
        <v>63</v>
      </c>
      <c r="B8" s="3">
        <v>50</v>
      </c>
      <c r="C8" s="10" t="str">
        <f>VLOOKUP(Recipe1058616467707376798285[[#This Row],[חומר גלם]],'חומרי גלם'!A:D,4,0)</f>
        <v>מיליליטר</v>
      </c>
      <c r="D8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0.75</v>
      </c>
    </row>
    <row r="9" spans="1:20" ht="24.95" customHeight="1" x14ac:dyDescent="0.3">
      <c r="A9" s="3" t="s">
        <v>118</v>
      </c>
      <c r="B9" s="3">
        <v>200</v>
      </c>
      <c r="C9" s="10" t="str">
        <f>VLOOKUP(Recipe1058616467707376798285[[#This Row],[חומר גלם]],'חומרי גלם'!A:D,4,0)</f>
        <v>גרם</v>
      </c>
      <c r="D9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7.5</v>
      </c>
    </row>
    <row r="10" spans="1:20" ht="24.95" customHeight="1" x14ac:dyDescent="0.3">
      <c r="A10" s="3" t="s">
        <v>161</v>
      </c>
      <c r="B10" s="3">
        <v>20</v>
      </c>
      <c r="C10" s="10" t="str">
        <f>VLOOKUP(Recipe1058616467707376798285[[#This Row],[חומר גלם]],'חומרי גלם'!A:D,4,0)</f>
        <v>גרם</v>
      </c>
      <c r="D10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2.09</v>
      </c>
    </row>
    <row r="11" spans="1:20" ht="24.95" customHeight="1" x14ac:dyDescent="0.3">
      <c r="A11" s="3" t="s">
        <v>214</v>
      </c>
      <c r="B11" s="3">
        <v>1</v>
      </c>
      <c r="C11" s="10" t="str">
        <f>VLOOKUP(Recipe1058616467707376798285[[#This Row],[חומר גלם]],'חומרי גלם'!A:D,4,0)</f>
        <v>יחידות</v>
      </c>
      <c r="D11" s="11">
        <f>ROUNDUP(Recipe1058616467707376798285[[#This Row],[כמות במתכון]]*VLOOKUP(Recipe1058616467707376798285[[#This Row],[חומר גלם]],'חומרי גלם'!A:D,2,0)/VLOOKUP(Recipe1058616467707376798285[[#This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3EDB1FCA-85F9-4310-AB4F-48CFEE5A332C}">
      <formula1>INDIRECT("Packages[מוצר]")</formula1>
    </dataValidation>
    <dataValidation type="list" allowBlank="1" showInputMessage="1" showErrorMessage="1" sqref="A3:A11" xr:uid="{A2971FA0-C52A-459E-8B4D-0FD8CBA63332}">
      <formula1>INDIRECT("Ingredients[חומר גלם]")</formula1>
    </dataValidation>
  </dataValidations>
  <hyperlinks>
    <hyperlink ref="T1" location="ראשי!A1" display="חזרה לתפריט" xr:uid="{9A453CB0-4C64-4819-8298-EECD3F698B40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4D518-5AF0-465D-98D2-9D956711FB2C}">
  <sheetPr>
    <tabColor theme="9"/>
  </sheetPr>
  <dimension ref="A1:T12"/>
  <sheetViews>
    <sheetView rightToLeft="1" workbookViewId="0">
      <selection activeCell="B13" sqref="B13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ROUNDUP(SUM(Recipe105861646770737679828588[עלות למתכון]),2)</f>
        <v>58.84</v>
      </c>
      <c r="F1" s="5" t="s">
        <v>9</v>
      </c>
      <c r="J1" s="5" t="s">
        <v>21</v>
      </c>
      <c r="O1" s="5" t="s">
        <v>20</v>
      </c>
      <c r="Q1" s="8">
        <f>SUM(SinglePack126063666972757881848790[עלות])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500</v>
      </c>
      <c r="C3" s="10" t="str">
        <f>VLOOKUP(Recipe105861646770737679828588[[#This Row],[חומר גלם]],'חומרי גלם'!A:D,4,0)</f>
        <v>גרם</v>
      </c>
      <c r="D3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4.3</v>
      </c>
      <c r="F3" s="3">
        <v>1</v>
      </c>
      <c r="G3" s="3">
        <v>100</v>
      </c>
      <c r="H3" s="10">
        <f>Work115962656871747780838689[[#This Row],[עלות לשעת עבודה]]*Work115962656871747780838689[[#This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ROUNDUP(VLOOKUP(SinglePack126063666972757881848790[[#This Row],[מוצר]],אריזות!A:C,2,0)/VLOOKUP(SinglePack126063666972757881848790[[#This Row],[מוצר]],אריזות!A:C,3,0)*SinglePack126063666972757881848790[[#This Row],[כמות]],2)</f>
        <v>3.5</v>
      </c>
      <c r="S3" s="15">
        <f>Q1+M4</f>
        <v>43.21</v>
      </c>
    </row>
    <row r="4" spans="1:20" ht="24.95" customHeight="1" thickTop="1" x14ac:dyDescent="0.3">
      <c r="A4" s="3" t="s">
        <v>54</v>
      </c>
      <c r="B4" s="3">
        <v>55</v>
      </c>
      <c r="C4" s="10" t="str">
        <f>VLOOKUP(Recipe105861646770737679828588[[#This Row],[חומר גלם]],'חומרי גלם'!A:D,4,0)</f>
        <v>גרם</v>
      </c>
      <c r="D4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2.39</v>
      </c>
      <c r="J4" s="16">
        <v>4</v>
      </c>
      <c r="K4" s="17">
        <f>ROUNDUP(D1/J4,2)</f>
        <v>14.71</v>
      </c>
      <c r="L4" s="17" cm="1">
        <f t="array" ref="L4">ROUNDUP(Work115962656871747780838689[עלות עבודה]/J4,2)</f>
        <v>25</v>
      </c>
      <c r="M4" s="8">
        <f>L4+K4</f>
        <v>39.71</v>
      </c>
    </row>
    <row r="5" spans="1:20" ht="24.95" customHeight="1" x14ac:dyDescent="0.3">
      <c r="A5" s="3" t="s">
        <v>58</v>
      </c>
      <c r="B5" s="3">
        <v>80</v>
      </c>
      <c r="C5" s="10" t="str">
        <f>VLOOKUP(Recipe105861646770737679828588[[#This Row],[חומר גלם]],'חומרי גלם'!A:D,4,0)</f>
        <v>גרם</v>
      </c>
      <c r="D5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0.8</v>
      </c>
    </row>
    <row r="6" spans="1:20" ht="24.95" customHeight="1" x14ac:dyDescent="0.3">
      <c r="A6" s="3" t="s">
        <v>56</v>
      </c>
      <c r="B6" s="3">
        <v>8</v>
      </c>
      <c r="C6" s="10" t="str">
        <f>VLOOKUP(Recipe105861646770737679828588[[#This Row],[חומר גלם]],'חומרי גלם'!A:D,4,0)</f>
        <v>גרם</v>
      </c>
      <c r="D6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0.16</v>
      </c>
    </row>
    <row r="7" spans="1:20" ht="24.95" customHeight="1" x14ac:dyDescent="0.3">
      <c r="A7" s="3" t="s">
        <v>73</v>
      </c>
      <c r="B7" s="3">
        <v>300</v>
      </c>
      <c r="C7" s="10" t="str">
        <f>VLOOKUP(Recipe105861646770737679828588[[#This Row],[חומר גלם]],'חומרי גלם'!A:D,4,0)</f>
        <v>גרם</v>
      </c>
      <c r="D7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13.5</v>
      </c>
    </row>
    <row r="8" spans="1:20" ht="24.95" customHeight="1" x14ac:dyDescent="0.3">
      <c r="A8" s="3" t="s">
        <v>97</v>
      </c>
      <c r="B8" s="3">
        <v>2</v>
      </c>
      <c r="C8" s="10" t="str">
        <f>VLOOKUP(Recipe105861646770737679828588[[#This Row],[חומר גלם]],'חומרי גלם'!A:D,4,0)</f>
        <v>יחידות</v>
      </c>
      <c r="D8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2.15</v>
      </c>
    </row>
    <row r="9" spans="1:20" ht="24.95" customHeight="1" x14ac:dyDescent="0.3">
      <c r="A9" s="3" t="s">
        <v>66</v>
      </c>
      <c r="B9" s="3">
        <v>55</v>
      </c>
      <c r="C9" s="10" t="str">
        <f>VLOOKUP(Recipe105861646770737679828588[[#This Row],[חומר גלם]],'חומרי גלם'!A:D,4,0)</f>
        <v>מיליליטר</v>
      </c>
      <c r="D9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0.38</v>
      </c>
    </row>
    <row r="10" spans="1:20" ht="24.95" customHeight="1" x14ac:dyDescent="0.3">
      <c r="A10" s="3" t="s">
        <v>75</v>
      </c>
      <c r="B10" s="3">
        <v>300</v>
      </c>
      <c r="C10" s="10" t="str">
        <f>VLOOKUP(Recipe105861646770737679828588[[#This Row],[חומר גלם]],'חומרי גלם'!A:D,4,0)</f>
        <v>גרם</v>
      </c>
      <c r="D10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16.899999999999999</v>
      </c>
    </row>
    <row r="11" spans="1:20" ht="24.95" customHeight="1" x14ac:dyDescent="0.3">
      <c r="A11" s="3" t="s">
        <v>78</v>
      </c>
      <c r="B11" s="3">
        <v>3.5</v>
      </c>
      <c r="C11" s="10" t="str">
        <f>VLOOKUP(Recipe105861646770737679828588[[#This Row],[חומר גלם]],'חומרי גלם'!A:D,4,0)</f>
        <v>יחידות</v>
      </c>
      <c r="D11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3.26</v>
      </c>
    </row>
    <row r="12" spans="1:20" ht="24.95" customHeight="1" x14ac:dyDescent="0.3">
      <c r="A12" s="3" t="s">
        <v>214</v>
      </c>
      <c r="B12" s="3">
        <v>1</v>
      </c>
      <c r="C12" s="10" t="str">
        <f>VLOOKUP(Recipe105861646770737679828588[[#This Row],[חומר גלם]],'חומרי גלם'!A:D,4,0)</f>
        <v>יחידות</v>
      </c>
      <c r="D12" s="11">
        <f>ROUNDUP(Recipe105861646770737679828588[[#This Row],[כמות במתכון]]*VLOOKUP(Recipe105861646770737679828588[[#This Row],[חומר גלם]],'חומרי גלם'!A:D,2,0)/VLOOKUP(Recipe105861646770737679828588[[#This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2" xr:uid="{F9ACE23B-B386-4D2F-9534-4896DF9EC226}">
      <formula1>INDIRECT("Ingredients[חומר גלם]")</formula1>
    </dataValidation>
    <dataValidation type="list" allowBlank="1" showInputMessage="1" showErrorMessage="1" sqref="O3" xr:uid="{EB140086-64F4-404D-BD60-02CC9AEE4BAE}">
      <formula1>INDIRECT("Packages[מוצר]")</formula1>
    </dataValidation>
  </dataValidations>
  <hyperlinks>
    <hyperlink ref="T1" location="ראשי!A1" display="חזרה לתפריט" xr:uid="{D6F736FD-AD42-42BB-A3B5-7B724E0B347E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238AE-7754-4E2F-8A78-7282B815CF55}">
  <sheetPr>
    <tabColor theme="9"/>
  </sheetPr>
  <dimension ref="A1:T11"/>
  <sheetViews>
    <sheetView rightToLeft="1" workbookViewId="0">
      <selection activeCell="B12" sqref="B12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ROUNDUP(SUM(Recipe10586164677073767982[עלות למתכון]),2)</f>
        <v>47.13</v>
      </c>
      <c r="F1" s="5" t="s">
        <v>9</v>
      </c>
      <c r="J1" s="5" t="s">
        <v>21</v>
      </c>
      <c r="O1" s="5" t="s">
        <v>20</v>
      </c>
      <c r="Q1" s="8">
        <f>SUM(SinglePack12606366697275788184[עלות])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35</v>
      </c>
      <c r="B3" s="3">
        <v>250</v>
      </c>
      <c r="C3" s="10" t="str">
        <f>VLOOKUP(Recipe10586164677073767982[[#This Row],[חומר גלם]],'חומרי גלם'!A:D,4,0)</f>
        <v>גרם</v>
      </c>
      <c r="D3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7.07</v>
      </c>
      <c r="F3" s="3">
        <v>1</v>
      </c>
      <c r="G3" s="3">
        <v>100</v>
      </c>
      <c r="H3" s="10">
        <f>Work11596265687174778083[[#This Row],[עלות לשעת עבודה]]*Work11596265687174778083[[#This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ROUNDUP(VLOOKUP(SinglePack12606366697275788184[[#This Row],[מוצר]],אריזות!A:C,2,0)/VLOOKUP(SinglePack12606366697275788184[[#This Row],[מוצר]],אריזות!A:C,3,0)*SinglePack12606366697275788184[[#This Row],[כמות]],2)</f>
        <v>3.5</v>
      </c>
      <c r="S3" s="15">
        <f>Q1+M4</f>
        <v>12.7</v>
      </c>
    </row>
    <row r="4" spans="1:20" ht="24.95" customHeight="1" thickTop="1" x14ac:dyDescent="0.3">
      <c r="A4" s="3" t="s">
        <v>193</v>
      </c>
      <c r="B4" s="3">
        <v>200</v>
      </c>
      <c r="C4" s="10" t="str">
        <f>VLOOKUP(Recipe10586164677073767982[[#This Row],[חומר גלם]],'חומרי גלם'!A:D,4,0)</f>
        <v>מיליליטר</v>
      </c>
      <c r="D4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4.99</v>
      </c>
      <c r="J4" s="16">
        <v>16</v>
      </c>
      <c r="K4" s="17">
        <f>ROUNDUP(D1/J4,2)</f>
        <v>2.9499999999999997</v>
      </c>
      <c r="L4" s="17" cm="1">
        <f t="array" ref="L4">ROUNDUP(Work11596265687174778083[עלות עבודה]/J4,2)</f>
        <v>6.25</v>
      </c>
      <c r="M4" s="8">
        <f>L4+K4</f>
        <v>9.1999999999999993</v>
      </c>
    </row>
    <row r="5" spans="1:20" ht="24.95" customHeight="1" x14ac:dyDescent="0.3">
      <c r="A5" s="3" t="s">
        <v>42</v>
      </c>
      <c r="B5" s="3">
        <v>2</v>
      </c>
      <c r="C5" s="10" t="str">
        <f>VLOOKUP(Recipe10586164677073767982[[#This Row],[חומר גלם]],'חומרי גלם'!A:D,4,0)</f>
        <v>גרם</v>
      </c>
      <c r="D5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0.34</v>
      </c>
    </row>
    <row r="6" spans="1:20" ht="24.95" customHeight="1" x14ac:dyDescent="0.3">
      <c r="A6" s="3" t="s">
        <v>145</v>
      </c>
      <c r="B6" s="3">
        <v>30</v>
      </c>
      <c r="C6" s="10" t="str">
        <f>VLOOKUP(Recipe10586164677073767982[[#This Row],[חומר גלם]],'חומרי גלם'!A:D,4,0)</f>
        <v>גרם</v>
      </c>
      <c r="D6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1.8</v>
      </c>
    </row>
    <row r="7" spans="1:20" ht="24.95" customHeight="1" x14ac:dyDescent="0.3">
      <c r="A7" s="3" t="s">
        <v>118</v>
      </c>
      <c r="B7" s="3">
        <v>300</v>
      </c>
      <c r="C7" s="10" t="str">
        <f>VLOOKUP(Recipe10586164677073767982[[#This Row],[חומר גלם]],'חומרי גלם'!A:D,4,0)</f>
        <v>גרם</v>
      </c>
      <c r="D7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11.25</v>
      </c>
    </row>
    <row r="8" spans="1:20" ht="24.95" customHeight="1" x14ac:dyDescent="0.3">
      <c r="A8" s="3" t="s">
        <v>161</v>
      </c>
      <c r="B8" s="3">
        <v>30</v>
      </c>
      <c r="C8" s="10" t="str">
        <f>VLOOKUP(Recipe10586164677073767982[[#This Row],[חומר גלם]],'חומרי גלם'!A:D,4,0)</f>
        <v>גרם</v>
      </c>
      <c r="D8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3.1399999999999997</v>
      </c>
    </row>
    <row r="9" spans="1:20" ht="24.95" customHeight="1" x14ac:dyDescent="0.3">
      <c r="A9" s="3" t="s">
        <v>128</v>
      </c>
      <c r="B9" s="3">
        <v>0.1</v>
      </c>
      <c r="C9" s="10" t="str">
        <f>VLOOKUP(Recipe10586164677073767982[[#This Row],[חומר גלם]],'חומרי גלם'!A:D,4,0)</f>
        <v>יחידות</v>
      </c>
      <c r="D9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3.5</v>
      </c>
    </row>
    <row r="10" spans="1:20" ht="24.95" customHeight="1" x14ac:dyDescent="0.3">
      <c r="A10" s="3" t="s">
        <v>134</v>
      </c>
      <c r="B10" s="3">
        <v>0.5</v>
      </c>
      <c r="C10" s="10" t="str">
        <f>VLOOKUP(Recipe10586164677073767982[[#This Row],[חומר גלם]],'חומרי גלם'!A:D,4,0)</f>
        <v>גרם</v>
      </c>
      <c r="D10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0.04</v>
      </c>
    </row>
    <row r="11" spans="1:20" ht="24.95" customHeight="1" x14ac:dyDescent="0.3">
      <c r="A11" s="3" t="s">
        <v>214</v>
      </c>
      <c r="B11" s="3">
        <v>1</v>
      </c>
      <c r="C11" s="10" t="str">
        <f>VLOOKUP(Recipe10586164677073767982[[#This Row],[חומר גלם]],'חומרי גלם'!A:D,4,0)</f>
        <v>יחידות</v>
      </c>
      <c r="D11" s="11">
        <f>ROUNDUP(Recipe10586164677073767982[[#This Row],[כמות במתכון]]*VLOOKUP(Recipe10586164677073767982[[#This Row],[חומר גלם]],'חומרי גלם'!A:D,2,0)/VLOOKUP(Recipe10586164677073767982[[#This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1" xr:uid="{63E2667E-119C-46C8-AB8F-E5F12F968FEF}">
      <formula1>INDIRECT("Ingredients[חומר גלם]")</formula1>
    </dataValidation>
    <dataValidation type="list" allowBlank="1" showInputMessage="1" showErrorMessage="1" sqref="O3" xr:uid="{894EC195-E612-4F8B-B4E1-48516D8FE8BA}">
      <formula1>INDIRECT("Packages[מוצר]")</formula1>
    </dataValidation>
  </dataValidations>
  <hyperlinks>
    <hyperlink ref="T1" location="ראשי!A1" display="חזרה לתפריט" xr:uid="{E0BAC3E4-3658-4C56-AC71-375782676D7D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CDE1-ADFE-4513-9F2A-8C77DC8196B4}">
  <sheetPr>
    <tabColor theme="9"/>
  </sheetPr>
  <dimension ref="A1:T10"/>
  <sheetViews>
    <sheetView rightToLeft="1" workbookViewId="0">
      <selection activeCell="B11" sqref="B11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ROUNDUP(SUM(Recipe105861646770737679[עלות למתכון]),2)</f>
        <v>69.209999999999994</v>
      </c>
      <c r="F1" s="5" t="s">
        <v>9</v>
      </c>
      <c r="J1" s="5" t="s">
        <v>21</v>
      </c>
      <c r="O1" s="5" t="s">
        <v>20</v>
      </c>
      <c r="Q1" s="8">
        <f>SUM(SinglePack126063666972757881[עלות])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42</v>
      </c>
      <c r="B3" s="3">
        <v>4</v>
      </c>
      <c r="C3" s="10" t="str">
        <f>VLOOKUP(Recipe105861646770737679[[#This Row],[חומר גלם]],'חומרי גלם'!A:D,4,0)</f>
        <v>גרם</v>
      </c>
      <c r="D3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0.68</v>
      </c>
      <c r="F3" s="3">
        <v>1</v>
      </c>
      <c r="G3" s="3">
        <v>100</v>
      </c>
      <c r="H3" s="10">
        <f>Work115962656871747780[[#This Row],[עלות לשעת עבודה]]*Work115962656871747780[[#This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96</v>
      </c>
      <c r="P3" s="3">
        <v>1</v>
      </c>
      <c r="Q3" s="11">
        <f>ROUNDUP(VLOOKUP(SinglePack126063666972757881[[#This Row],[מוצר]],אריזות!A:C,2,0)/VLOOKUP(SinglePack126063666972757881[[#This Row],[מוצר]],אריזות!A:C,3,0)*SinglePack126063666972757881[[#This Row],[כמות]],2)</f>
        <v>3.5</v>
      </c>
      <c r="S3" s="15">
        <f>Q1+M4</f>
        <v>31.71</v>
      </c>
    </row>
    <row r="4" spans="1:20" ht="24.95" customHeight="1" thickTop="1" x14ac:dyDescent="0.3">
      <c r="A4" s="3" t="s">
        <v>119</v>
      </c>
      <c r="B4" s="3">
        <v>300</v>
      </c>
      <c r="C4" s="10" t="str">
        <f>VLOOKUP(Recipe105861646770737679[[#This Row],[חומר גלם]],'חומרי גלם'!A:D,4,0)</f>
        <v>גרם</v>
      </c>
      <c r="D4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11.25</v>
      </c>
      <c r="J4" s="16">
        <v>6</v>
      </c>
      <c r="K4" s="17">
        <f>ROUNDUP(D1/J4,2)</f>
        <v>11.54</v>
      </c>
      <c r="L4" s="17" cm="1">
        <f t="array" ref="L4">ROUNDUP(Work115962656871747780[עלות עבודה]/J4,2)</f>
        <v>16.670000000000002</v>
      </c>
      <c r="M4" s="8">
        <f>L4+K4</f>
        <v>28.21</v>
      </c>
    </row>
    <row r="5" spans="1:20" ht="24.95" customHeight="1" x14ac:dyDescent="0.3">
      <c r="A5" s="3" t="s">
        <v>35</v>
      </c>
      <c r="B5" s="3">
        <v>750</v>
      </c>
      <c r="C5" s="10" t="str">
        <f>VLOOKUP(Recipe105861646770737679[[#This Row],[חומר גלם]],'חומרי גלם'!A:D,4,0)</f>
        <v>גרם</v>
      </c>
      <c r="D5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21.21</v>
      </c>
    </row>
    <row r="6" spans="1:20" ht="24.95" customHeight="1" x14ac:dyDescent="0.3">
      <c r="A6" s="3" t="s">
        <v>191</v>
      </c>
      <c r="B6" s="3">
        <v>1</v>
      </c>
      <c r="C6" s="10" t="str">
        <f>VLOOKUP(Recipe105861646770737679[[#This Row],[חומר גלם]],'חומרי גלם'!A:D,4,0)</f>
        <v>יחידות</v>
      </c>
      <c r="D6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2.8</v>
      </c>
    </row>
    <row r="7" spans="1:20" ht="24.95" customHeight="1" x14ac:dyDescent="0.3">
      <c r="A7" s="3" t="s">
        <v>119</v>
      </c>
      <c r="B7" s="3">
        <v>200</v>
      </c>
      <c r="C7" s="10" t="str">
        <f>VLOOKUP(Recipe105861646770737679[[#This Row],[חומר גלם]],'חומרי גלם'!A:D,4,0)</f>
        <v>גרם</v>
      </c>
      <c r="D7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7.5</v>
      </c>
    </row>
    <row r="8" spans="1:20" ht="24.95" customHeight="1" x14ac:dyDescent="0.3">
      <c r="A8" s="3" t="s">
        <v>35</v>
      </c>
      <c r="B8" s="3">
        <v>80</v>
      </c>
      <c r="C8" s="10" t="str">
        <f>VLOOKUP(Recipe105861646770737679[[#This Row],[חומר גלם]],'חומרי גלם'!A:D,4,0)</f>
        <v>גרם</v>
      </c>
      <c r="D8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2.2699999999999996</v>
      </c>
    </row>
    <row r="9" spans="1:20" ht="24.95" customHeight="1" x14ac:dyDescent="0.3">
      <c r="A9" s="3" t="s">
        <v>128</v>
      </c>
      <c r="B9" s="3">
        <v>0.1</v>
      </c>
      <c r="C9" s="10" t="str">
        <f>VLOOKUP(Recipe105861646770737679[[#This Row],[חומר גלם]],'חומרי גלם'!A:D,4,0)</f>
        <v>יחידות</v>
      </c>
      <c r="D9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3.5</v>
      </c>
    </row>
    <row r="10" spans="1:20" ht="24.95" customHeight="1" x14ac:dyDescent="0.3">
      <c r="A10" s="3" t="s">
        <v>215</v>
      </c>
      <c r="B10" s="3">
        <v>1</v>
      </c>
      <c r="C10" s="10" t="str">
        <f>VLOOKUP(Recipe105861646770737679[[#This Row],[חומר גלם]],'חומרי גלם'!A:D,4,0)</f>
        <v>יחידות</v>
      </c>
      <c r="D10" s="11">
        <f>ROUNDUP(Recipe105861646770737679[[#This Row],[כמות במתכון]]*VLOOKUP(Recipe105861646770737679[[#This Row],[חומר גלם]],'חומרי גלם'!A:D,2,0)/VLOOKUP(Recipe105861646770737679[[#This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27F4AF7B-8007-43BA-AAB0-C4A271B64563}">
      <formula1>INDIRECT("Packages[מוצר]")</formula1>
    </dataValidation>
    <dataValidation type="list" allowBlank="1" showInputMessage="1" showErrorMessage="1" sqref="A3:A10" xr:uid="{8C7CC8F7-85B2-4F88-B9D1-CC0238646954}">
      <formula1>INDIRECT("Ingredients[חומר גלם]")</formula1>
    </dataValidation>
  </dataValidations>
  <hyperlinks>
    <hyperlink ref="T1" location="ראשי!A1" display="חזרה לתפריט" xr:uid="{45EC35C4-10B0-4FF6-B50E-3F165245768B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B5454-7956-4AEC-8875-496F415F38F5}">
  <sheetPr>
    <tabColor theme="9"/>
  </sheetPr>
  <dimension ref="A1:T12"/>
  <sheetViews>
    <sheetView rightToLeft="1" workbookViewId="0">
      <selection activeCell="B13" sqref="B13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ROUNDUP(SUM(Recipe1058616467707376[עלות למתכון]),2)</f>
        <v>77.58</v>
      </c>
      <c r="F1" s="5" t="s">
        <v>9</v>
      </c>
      <c r="J1" s="5" t="s">
        <v>21</v>
      </c>
      <c r="O1" s="5" t="s">
        <v>20</v>
      </c>
      <c r="Q1" s="8">
        <f>SUM(SinglePack1260636669727578[עלות])</f>
        <v>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118</v>
      </c>
      <c r="B3" s="3">
        <v>80</v>
      </c>
      <c r="C3" s="10" t="str">
        <f>VLOOKUP(Recipe1058616467707376[[#This Row],[חומר גלם]],'חומרי גלם'!A:D,4,0)</f>
        <v>גרם</v>
      </c>
      <c r="D3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3</v>
      </c>
      <c r="F3" s="3">
        <v>2</v>
      </c>
      <c r="G3" s="3">
        <v>100</v>
      </c>
      <c r="H3" s="10">
        <f>Work1159626568717477[[#This Row],[עלות לשעת עבודה]]*Work1159626568717477[[#This Row],[שעות עבודה]]</f>
        <v>200</v>
      </c>
      <c r="J3" s="25"/>
      <c r="K3" s="12" t="s">
        <v>14</v>
      </c>
      <c r="L3" s="13" t="s">
        <v>9</v>
      </c>
      <c r="M3" s="14" t="s">
        <v>15</v>
      </c>
      <c r="O3" s="3" t="s">
        <v>93</v>
      </c>
      <c r="P3" s="3">
        <v>1</v>
      </c>
      <c r="Q3" s="11">
        <f>ROUNDUP(VLOOKUP(SinglePack1260636669727578[[#This Row],[מוצר]],אריזות!A:C,2,0)/VLOOKUP(SinglePack1260636669727578[[#This Row],[מוצר]],אריזות!A:C,3,0)*SinglePack1260636669727578[[#This Row],[כמות]],2)</f>
        <v>5</v>
      </c>
      <c r="S3" s="15">
        <f>Q1+M4</f>
        <v>282.58</v>
      </c>
    </row>
    <row r="4" spans="1:20" ht="24.95" customHeight="1" thickTop="1" x14ac:dyDescent="0.3">
      <c r="A4" s="3" t="s">
        <v>145</v>
      </c>
      <c r="B4" s="3">
        <v>30</v>
      </c>
      <c r="C4" s="10" t="str">
        <f>VLOOKUP(Recipe1058616467707376[[#This Row],[חומר גלם]],'חומרי גלם'!A:D,4,0)</f>
        <v>גרם</v>
      </c>
      <c r="D4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1.8</v>
      </c>
      <c r="J4" s="16">
        <v>1</v>
      </c>
      <c r="K4" s="17">
        <f>ROUNDUP(D1/J4,2)</f>
        <v>77.58</v>
      </c>
      <c r="L4" s="17" cm="1">
        <f t="array" ref="L4">ROUNDUP(Work1159626568717477[עלות עבודה]/J4,2)</f>
        <v>200</v>
      </c>
      <c r="M4" s="8">
        <f>L4+K4</f>
        <v>277.58</v>
      </c>
    </row>
    <row r="5" spans="1:20" ht="24.95" customHeight="1" x14ac:dyDescent="0.3">
      <c r="A5" s="3" t="s">
        <v>161</v>
      </c>
      <c r="B5" s="3">
        <v>6</v>
      </c>
      <c r="C5" s="10" t="str">
        <f>VLOOKUP(Recipe1058616467707376[[#This Row],[חומר גלם]],'חומרי גלם'!A:D,4,0)</f>
        <v>גרם</v>
      </c>
      <c r="D5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0.63</v>
      </c>
    </row>
    <row r="6" spans="1:20" ht="24.95" customHeight="1" x14ac:dyDescent="0.3">
      <c r="A6" s="3" t="s">
        <v>154</v>
      </c>
      <c r="B6" s="3">
        <v>15</v>
      </c>
      <c r="C6" s="10" t="str">
        <f>VLOOKUP(Recipe1058616467707376[[#This Row],[חומר גלם]],'חומרי גלם'!A:D,4,0)</f>
        <v>גרם</v>
      </c>
      <c r="D6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0.36</v>
      </c>
    </row>
    <row r="7" spans="1:20" ht="24.95" customHeight="1" x14ac:dyDescent="0.3">
      <c r="A7" s="3" t="s">
        <v>42</v>
      </c>
      <c r="B7" s="3">
        <v>11</v>
      </c>
      <c r="C7" s="10" t="str">
        <f>VLOOKUP(Recipe1058616467707376[[#This Row],[חומר גלם]],'חומרי גלם'!A:D,4,0)</f>
        <v>גרם</v>
      </c>
      <c r="D7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1.87</v>
      </c>
    </row>
    <row r="8" spans="1:20" ht="24.95" customHeight="1" x14ac:dyDescent="0.3">
      <c r="A8" s="3" t="s">
        <v>119</v>
      </c>
      <c r="B8" s="3">
        <v>390</v>
      </c>
      <c r="C8" s="10" t="str">
        <f>VLOOKUP(Recipe1058616467707376[[#This Row],[חומר גלם]],'חומרי גלם'!A:D,4,0)</f>
        <v>גרם</v>
      </c>
      <c r="D8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14.629999999999999</v>
      </c>
    </row>
    <row r="9" spans="1:20" ht="24.95" customHeight="1" x14ac:dyDescent="0.3">
      <c r="A9" s="3" t="s">
        <v>145</v>
      </c>
      <c r="B9" s="3">
        <v>170</v>
      </c>
      <c r="C9" s="10" t="str">
        <f>VLOOKUP(Recipe1058616467707376[[#This Row],[חומר גלם]],'חומרי גלם'!A:D,4,0)</f>
        <v>גרם</v>
      </c>
      <c r="D9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10.199999999999999</v>
      </c>
    </row>
    <row r="10" spans="1:20" ht="24.95" customHeight="1" x14ac:dyDescent="0.3">
      <c r="A10" s="3" t="s">
        <v>35</v>
      </c>
      <c r="B10" s="3">
        <v>940</v>
      </c>
      <c r="C10" s="10" t="str">
        <f>VLOOKUP(Recipe1058616467707376[[#This Row],[חומר גלם]],'חומרי גלם'!A:D,4,0)</f>
        <v>גרם</v>
      </c>
      <c r="D10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26.59</v>
      </c>
    </row>
    <row r="11" spans="1:20" ht="24.95" customHeight="1" x14ac:dyDescent="0.3">
      <c r="A11" s="3" t="s">
        <v>128</v>
      </c>
      <c r="B11" s="3">
        <v>0.1</v>
      </c>
      <c r="C11" s="10" t="str">
        <f>VLOOKUP(Recipe1058616467707376[[#This Row],[חומר גלם]],'חומרי גלם'!A:D,4,0)</f>
        <v>יחידות</v>
      </c>
      <c r="D11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3.5</v>
      </c>
    </row>
    <row r="12" spans="1:20" ht="24.95" customHeight="1" x14ac:dyDescent="0.3">
      <c r="A12" s="3" t="s">
        <v>214</v>
      </c>
      <c r="B12" s="3">
        <v>1</v>
      </c>
      <c r="C12" s="10" t="str">
        <f>VLOOKUP(Recipe1058616467707376[[#This Row],[חומר גלם]],'חומרי גלם'!A:D,4,0)</f>
        <v>יחידות</v>
      </c>
      <c r="D12" s="11">
        <f>ROUNDUP(Recipe1058616467707376[[#This Row],[כמות במתכון]]*VLOOKUP(Recipe1058616467707376[[#This Row],[חומר גלם]],'חומרי גלם'!A:D,2,0)/VLOOKUP(Recipe1058616467707376[[#This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2" xr:uid="{B5DDB2F8-4424-4889-80F9-CC93EF0B4395}">
      <formula1>INDIRECT("Ingredients[חומר גלם]")</formula1>
    </dataValidation>
    <dataValidation type="list" allowBlank="1" showInputMessage="1" showErrorMessage="1" sqref="O3" xr:uid="{8CCA5171-AD3F-4DFB-9D64-D2EA6AEC00BC}">
      <formula1>INDIRECT("Packages[מוצר]")</formula1>
    </dataValidation>
  </dataValidations>
  <hyperlinks>
    <hyperlink ref="T1" location="ראשי!A1" display="חזרה לתפריט" xr:uid="{5A0BB1F8-87A2-47C7-BAEC-9BC2E707973A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07A52-5962-4B83-8995-3CB56FC80AA1}">
  <sheetPr>
    <tabColor theme="9"/>
  </sheetPr>
  <dimension ref="A1:T7"/>
  <sheetViews>
    <sheetView rightToLeft="1" workbookViewId="0">
      <selection activeCell="Q4" sqref="O4:Q4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ROUNDUP(SUM(Recipe10586164677073[עלות למתכון]),2)</f>
        <v>36.08</v>
      </c>
      <c r="F1" s="5" t="s">
        <v>9</v>
      </c>
      <c r="J1" s="5" t="s">
        <v>21</v>
      </c>
      <c r="O1" s="5" t="s">
        <v>20</v>
      </c>
      <c r="Q1" s="8">
        <f>SUM(SinglePack12606366697275[עלות])</f>
        <v>1.1000000000000001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35</v>
      </c>
      <c r="B3" s="3">
        <v>600</v>
      </c>
      <c r="C3" s="10" t="str">
        <f>VLOOKUP(Recipe10586164677073[[#This Row],[חומר גלם]],'חומרי גלם'!A:D,4,0)</f>
        <v>גרם</v>
      </c>
      <c r="D3" s="11">
        <f>ROUNDUP(Recipe10586164677073[[#This Row],[כמות במתכון]]*VLOOKUP(Recipe10586164677073[[#This Row],[חומר גלם]],'חומרי גלם'!A:D,2,0)/VLOOKUP(Recipe10586164677073[[#This Row],[חומר גלם]],'חומרי גלם'!A:D,3,0),2)</f>
        <v>16.970000000000002</v>
      </c>
      <c r="F3" s="3">
        <v>1</v>
      </c>
      <c r="G3" s="3">
        <v>100</v>
      </c>
      <c r="H3" s="10">
        <f>Work11596265687174[[#This Row],[עלות לשעת עבודה]]*Work11596265687174[[#This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95</v>
      </c>
      <c r="P3" s="3">
        <v>1</v>
      </c>
      <c r="Q3" s="11">
        <f>ROUNDUP(VLOOKUP(SinglePack12606366697275[[#This Row],[מוצר]],אריזות!A:C,2,0)/VLOOKUP(SinglePack12606366697275[[#This Row],[מוצר]],אריזות!A:C,3,0)*SinglePack12606366697275[[#This Row],[כמות]],2)</f>
        <v>1.1000000000000001</v>
      </c>
      <c r="S3" s="15">
        <f>Q1+M4</f>
        <v>12.45</v>
      </c>
    </row>
    <row r="4" spans="1:20" ht="24.95" customHeight="1" thickTop="1" x14ac:dyDescent="0.3">
      <c r="A4" s="3" t="s">
        <v>97</v>
      </c>
      <c r="B4" s="3">
        <v>2</v>
      </c>
      <c r="C4" s="10" t="str">
        <f>VLOOKUP(Recipe10586164677073[[#This Row],[חומר גלם]],'חומרי גלם'!A:D,4,0)</f>
        <v>יחידות</v>
      </c>
      <c r="D4" s="11">
        <f>ROUNDUP(Recipe10586164677073[[#This Row],[כמות במתכון]]*VLOOKUP(Recipe10586164677073[[#This Row],[חומר גלם]],'חומרי גלם'!A:D,2,0)/VLOOKUP(Recipe10586164677073[[#This Row],[חומר גלם]],'חומרי גלם'!A:D,3,0),2)</f>
        <v>2.15</v>
      </c>
      <c r="J4" s="16">
        <v>12</v>
      </c>
      <c r="K4" s="17">
        <f>ROUNDUP(D1/J4,2)</f>
        <v>3.01</v>
      </c>
      <c r="L4" s="17" cm="1">
        <f t="array" ref="L4">ROUNDUP(Work11596265687174[עלות עבודה]/J4,2)</f>
        <v>8.34</v>
      </c>
      <c r="M4" s="8">
        <f>L4+K4</f>
        <v>11.35</v>
      </c>
    </row>
    <row r="5" spans="1:20" ht="24.95" customHeight="1" x14ac:dyDescent="0.3">
      <c r="A5" s="3" t="s">
        <v>48</v>
      </c>
      <c r="B5" s="3">
        <v>120</v>
      </c>
      <c r="C5" s="10" t="str">
        <f>VLOOKUP(Recipe10586164677073[[#This Row],[חומר גלם]],'חומרי גלם'!A:D,4,0)</f>
        <v>גרם</v>
      </c>
      <c r="D5" s="11">
        <f>ROUNDUP(Recipe10586164677073[[#This Row],[כמות במתכון]]*VLOOKUP(Recipe10586164677073[[#This Row],[חומר גלם]],'חומרי גלם'!A:D,2,0)/VLOOKUP(Recipe10586164677073[[#This Row],[חומר גלם]],'חומרי גלם'!A:D,3,0),2)</f>
        <v>0.63</v>
      </c>
    </row>
    <row r="6" spans="1:20" ht="24.95" customHeight="1" x14ac:dyDescent="0.3">
      <c r="A6" s="3" t="s">
        <v>123</v>
      </c>
      <c r="B6" s="3">
        <v>15</v>
      </c>
      <c r="C6" s="10" t="str">
        <f>VLOOKUP(Recipe10586164677073[[#This Row],[חומר גלם]],'חומרי גלם'!A:D,4,0)</f>
        <v>גרם</v>
      </c>
      <c r="D6" s="11">
        <f>ROUNDUP(Recipe10586164677073[[#This Row],[כמות במתכון]]*VLOOKUP(Recipe10586164677073[[#This Row],[חומר גלם]],'חומרי גלם'!A:D,2,0)/VLOOKUP(Recipe10586164677073[[#This Row],[חומר גלם]],'חומרי גלם'!A:D,3,0),2)</f>
        <v>16.130000000000003</v>
      </c>
    </row>
    <row r="7" spans="1:20" ht="24.95" customHeight="1" x14ac:dyDescent="0.3">
      <c r="A7" s="3" t="s">
        <v>50</v>
      </c>
      <c r="B7" s="3">
        <v>15</v>
      </c>
      <c r="C7" s="10" t="str">
        <f>VLOOKUP(Recipe10586164677073[[#This Row],[חומר גלם]],'חומרי גלם'!A:D,4,0)</f>
        <v>גרם</v>
      </c>
      <c r="D7" s="11">
        <f>ROUNDUP(Recipe10586164677073[[#This Row],[כמות במתכון]]*VLOOKUP(Recipe10586164677073[[#This Row],[חומר גלם]],'חומרי גלם'!A:D,2,0)/VLOOKUP(Recipe10586164677073[[#This Row],[חומר גלם]],'חומרי גלם'!A:D,3,0),2)</f>
        <v>0.2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904E5AF5-5E7A-4C19-81B4-2E816AA2823A}">
      <formula1>INDIRECT("Packages[מוצר]")</formula1>
    </dataValidation>
    <dataValidation type="list" allowBlank="1" showInputMessage="1" showErrorMessage="1" sqref="A3:A7" xr:uid="{4EBE50F5-6EFB-4494-BB13-A3471C5C7E61}">
      <formula1>INDIRECT("Ingredients[חומר גלם]")</formula1>
    </dataValidation>
  </dataValidations>
  <hyperlinks>
    <hyperlink ref="T1" location="ראשי!A1" display="חזרה לתפריט" xr:uid="{C1F3E87D-4C45-4971-872D-74B528519018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93F8A-32FD-4424-8DDC-EB467ABC0669}">
  <sheetPr>
    <tabColor theme="9"/>
  </sheetPr>
  <dimension ref="A1:T9"/>
  <sheetViews>
    <sheetView rightToLeft="1" workbookViewId="0">
      <selection activeCell="F4" sqref="F4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ROUNDUP(SUM(Recipe105861646770[עלות למתכון]),2)</f>
        <v>67.81</v>
      </c>
      <c r="F1" s="5" t="s">
        <v>9</v>
      </c>
      <c r="J1" s="5" t="s">
        <v>21</v>
      </c>
      <c r="O1" s="5" t="s">
        <v>20</v>
      </c>
      <c r="Q1" s="8">
        <f>SUM(SinglePack126063666972[עלות])</f>
        <v>3.2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168</v>
      </c>
      <c r="B3" s="3">
        <v>1</v>
      </c>
      <c r="C3" s="10" t="str">
        <f>VLOOKUP(Recipe105861646770[[#This Row],[חומר גלם]],'חומרי גלם'!A:D,4,0)</f>
        <v>יחידות</v>
      </c>
      <c r="D3" s="11">
        <f>ROUNDUP(Recipe105861646770[[#This Row],[כמות במתכון]]*VLOOKUP(Recipe105861646770[[#This Row],[חומר גלם]],'חומרי גלם'!A:D,2,0)/VLOOKUP(Recipe105861646770[[#This Row],[חומר גלם]],'חומרי גלם'!A:D,3,0),2)</f>
        <v>19.899999999999999</v>
      </c>
      <c r="F3" s="3">
        <v>1.3</v>
      </c>
      <c r="G3" s="3">
        <v>100</v>
      </c>
      <c r="H3" s="10">
        <f>Work115962656871[[#This Row],[עלות לשעת עבודה]]*Work115962656871[[#This Row],[שעות עבודה]]</f>
        <v>130</v>
      </c>
      <c r="J3" s="25"/>
      <c r="K3" s="12" t="s">
        <v>14</v>
      </c>
      <c r="L3" s="13" t="s">
        <v>9</v>
      </c>
      <c r="M3" s="14" t="s">
        <v>15</v>
      </c>
      <c r="O3" s="3" t="s">
        <v>107</v>
      </c>
      <c r="P3" s="3">
        <v>1</v>
      </c>
      <c r="Q3" s="11">
        <f>ROUNDUP(VLOOKUP(SinglePack126063666972[[#This Row],[מוצר]],אריזות!A:C,2,0)/VLOOKUP(SinglePack126063666972[[#This Row],[מוצר]],אריזות!A:C,3,0)*SinglePack126063666972[[#This Row],[כמות]],2)</f>
        <v>3</v>
      </c>
      <c r="S3" s="15">
        <f>Q1+M4</f>
        <v>201.01</v>
      </c>
    </row>
    <row r="4" spans="1:20" ht="24.95" customHeight="1" thickTop="1" x14ac:dyDescent="0.3">
      <c r="A4" s="3" t="s">
        <v>185</v>
      </c>
      <c r="B4" s="3">
        <v>500</v>
      </c>
      <c r="C4" s="10" t="str">
        <f>VLOOKUP(Recipe105861646770[[#This Row],[חומר גלם]],'חומרי גלם'!A:D,4,0)</f>
        <v>גרם</v>
      </c>
      <c r="D4" s="11">
        <f>ROUNDUP(Recipe105861646770[[#This Row],[כמות במתכון]]*VLOOKUP(Recipe105861646770[[#This Row],[חומר גלם]],'חומרי גלם'!A:D,2,0)/VLOOKUP(Recipe105861646770[[#This Row],[חומר גלם]],'חומרי גלם'!A:D,3,0),2)</f>
        <v>14.9</v>
      </c>
      <c r="J4" s="16">
        <v>1</v>
      </c>
      <c r="K4" s="17">
        <f>ROUNDUP(D1/J4,2)</f>
        <v>67.81</v>
      </c>
      <c r="L4" s="17" cm="1">
        <f t="array" ref="L4">ROUNDUP(Work115962656871[עלות עבודה]/J4,2)</f>
        <v>130</v>
      </c>
      <c r="M4" s="8">
        <f>L4+K4</f>
        <v>197.81</v>
      </c>
      <c r="O4" s="3" t="s">
        <v>126</v>
      </c>
      <c r="P4" s="3">
        <v>1</v>
      </c>
      <c r="Q4" s="11">
        <f>ROUNDUP(VLOOKUP(SinglePack126063666972[[#This Row],[מוצר]],אריזות!A:C,2,0)/VLOOKUP(SinglePack126063666972[[#This Row],[מוצר]],אריזות!A:C,3,0)*SinglePack126063666972[[#This Row],[כמות]],2)</f>
        <v>0.2</v>
      </c>
    </row>
    <row r="5" spans="1:20" ht="24.95" customHeight="1" x14ac:dyDescent="0.3">
      <c r="A5" s="3" t="s">
        <v>50</v>
      </c>
      <c r="B5" s="3">
        <v>400</v>
      </c>
      <c r="C5" s="10" t="str">
        <f>VLOOKUP(Recipe105861646770[[#This Row],[חומר גלם]],'חומרי גלם'!A:D,4,0)</f>
        <v>גרם</v>
      </c>
      <c r="D5" s="11">
        <f>ROUNDUP(Recipe105861646770[[#This Row],[כמות במתכון]]*VLOOKUP(Recipe105861646770[[#This Row],[חומר גלם]],'חומרי גלם'!A:D,2,0)/VLOOKUP(Recipe105861646770[[#This Row],[חומר גלם]],'חומרי גלם'!A:D,3,0),2)</f>
        <v>5.16</v>
      </c>
    </row>
    <row r="6" spans="1:20" ht="24.95" customHeight="1" x14ac:dyDescent="0.3">
      <c r="A6" s="3" t="s">
        <v>63</v>
      </c>
      <c r="B6" s="3">
        <v>200</v>
      </c>
      <c r="C6" s="10" t="str">
        <f>VLOOKUP(Recipe105861646770[[#This Row],[חומר גלם]],'חומרי גלם'!A:D,4,0)</f>
        <v>מיליליטר</v>
      </c>
      <c r="D6" s="11">
        <f>ROUNDUP(Recipe105861646770[[#This Row],[כמות במתכון]]*VLOOKUP(Recipe105861646770[[#This Row],[חומר גלם]],'חומרי גלם'!A:D,2,0)/VLOOKUP(Recipe105861646770[[#This Row],[חומר גלם]],'חומרי גלם'!A:D,3,0),2)</f>
        <v>2.98</v>
      </c>
    </row>
    <row r="7" spans="1:20" ht="24.95" customHeight="1" x14ac:dyDescent="0.3">
      <c r="A7" s="3" t="s">
        <v>182</v>
      </c>
      <c r="B7" s="3">
        <v>200</v>
      </c>
      <c r="C7" s="10" t="str">
        <f>VLOOKUP(Recipe105861646770[[#This Row],[חומר גלם]],'חומרי גלם'!A:D,4,0)</f>
        <v>גרם</v>
      </c>
      <c r="D7" s="11">
        <f>ROUNDUP(Recipe105861646770[[#This Row],[כמות במתכון]]*VLOOKUP(Recipe105861646770[[#This Row],[חומר גלם]],'חומרי גלם'!A:D,2,0)/VLOOKUP(Recipe105861646770[[#This Row],[חומר גלם]],'חומרי גלם'!A:D,3,0),2)</f>
        <v>5.6</v>
      </c>
    </row>
    <row r="8" spans="1:20" ht="24.95" customHeight="1" x14ac:dyDescent="0.3">
      <c r="A8" s="3" t="s">
        <v>188</v>
      </c>
      <c r="B8" s="3">
        <v>165</v>
      </c>
      <c r="C8" s="10" t="str">
        <f>VLOOKUP(Recipe105861646770[[#This Row],[חומר גלם]],'חומרי גלם'!A:D,4,0)</f>
        <v>גרם</v>
      </c>
      <c r="D8" s="11">
        <f>ROUNDUP(Recipe105861646770[[#This Row],[כמות במתכון]]*VLOOKUP(Recipe105861646770[[#This Row],[חומר גלם]],'חומרי גלם'!A:D,2,0)/VLOOKUP(Recipe105861646770[[#This Row],[חומר גלם]],'חומרי גלם'!A:D,3,0),2)</f>
        <v>4.2699999999999996</v>
      </c>
    </row>
    <row r="9" spans="1:20" ht="24.95" customHeight="1" x14ac:dyDescent="0.3">
      <c r="A9" s="3" t="s">
        <v>214</v>
      </c>
      <c r="B9" s="3">
        <v>1</v>
      </c>
      <c r="C9" s="10" t="str">
        <f>VLOOKUP(Recipe105861646770[[#This Row],[חומר גלם]],'חומרי גלם'!A:D,4,0)</f>
        <v>יחידות</v>
      </c>
      <c r="D9" s="11">
        <f>ROUNDUP(Recipe105861646770[[#This Row],[כמות במתכון]]*VLOOKUP(Recipe105861646770[[#This Row],[חומר גלם]],'חומרי גלם'!A:D,2,0)/VLOOKUP(Recipe105861646770[[#This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9" xr:uid="{11B516CB-6E85-41D0-9385-8B22CAD39D12}">
      <formula1>INDIRECT("Ingredients[חומר גלם]")</formula1>
    </dataValidation>
    <dataValidation type="list" allowBlank="1" showInputMessage="1" showErrorMessage="1" sqref="O3:O4" xr:uid="{65EE9A02-330D-486A-B873-0CD65E116E4F}">
      <formula1>INDIRECT("Packages[מוצר]")</formula1>
    </dataValidation>
  </dataValidations>
  <hyperlinks>
    <hyperlink ref="T1" location="ראשי!A1" display="חזרה לתפריט" xr:uid="{FE9187CB-BBD7-4C85-9884-153E216584D2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0DC8A-7DEC-4C13-8ACA-5AF5B8D74FED}">
  <sheetPr>
    <tabColor theme="9"/>
  </sheetPr>
  <dimension ref="A1:T7"/>
  <sheetViews>
    <sheetView rightToLeft="1" workbookViewId="0">
      <selection activeCell="F4" sqref="F4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ROUNDUP(SUM(Recipe1058616467[עלות למתכון]),2)</f>
        <v>72.040000000000006</v>
      </c>
      <c r="F1" s="5" t="s">
        <v>9</v>
      </c>
      <c r="J1" s="5" t="s">
        <v>21</v>
      </c>
      <c r="O1" s="5" t="s">
        <v>20</v>
      </c>
      <c r="Q1" s="8">
        <f>SUM(SinglePack1260636669[עלות])</f>
        <v>3.2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168</v>
      </c>
      <c r="B3" s="3">
        <v>1</v>
      </c>
      <c r="C3" s="10" t="str">
        <f>VLOOKUP(Recipe1058616467[[#This Row],[חומר גלם]],'חומרי גלם'!A:D,4,0)</f>
        <v>יחידות</v>
      </c>
      <c r="D3" s="11">
        <f>ROUNDUP(Recipe1058616467[[#This Row],[כמות במתכון]]*VLOOKUP(Recipe1058616467[[#This Row],[חומר גלם]],'חומרי גלם'!A:D,2,0)/VLOOKUP(Recipe1058616467[[#This Row],[חומר גלם]],'חומרי גלם'!A:D,3,0),2)</f>
        <v>19.899999999999999</v>
      </c>
      <c r="F3" s="3">
        <v>1.75</v>
      </c>
      <c r="G3" s="3">
        <v>100</v>
      </c>
      <c r="H3" s="10">
        <f>Work1159626568[[#This Row],[עלות לשעת עבודה]]*Work1159626568[[#This Row],[שעות עבודה]]</f>
        <v>175</v>
      </c>
      <c r="J3" s="25"/>
      <c r="K3" s="12" t="s">
        <v>14</v>
      </c>
      <c r="L3" s="13" t="s">
        <v>9</v>
      </c>
      <c r="M3" s="14" t="s">
        <v>15</v>
      </c>
      <c r="O3" s="3" t="s">
        <v>107</v>
      </c>
      <c r="P3" s="3">
        <v>1</v>
      </c>
      <c r="Q3" s="11">
        <f>ROUNDUP(VLOOKUP(SinglePack1260636669[[#This Row],[מוצר]],אריזות!A:C,2,0)/VLOOKUP(SinglePack1260636669[[#This Row],[מוצר]],אריזות!A:C,3,0)*SinglePack1260636669[[#This Row],[כמות]],2)</f>
        <v>3</v>
      </c>
      <c r="S3" s="15">
        <f>Q1+M4</f>
        <v>250.24</v>
      </c>
    </row>
    <row r="4" spans="1:20" ht="24.95" customHeight="1" thickTop="1" x14ac:dyDescent="0.3">
      <c r="A4" s="3" t="s">
        <v>165</v>
      </c>
      <c r="B4" s="3">
        <v>500</v>
      </c>
      <c r="C4" s="10" t="str">
        <f>VLOOKUP(Recipe1058616467[[#This Row],[חומר גלם]],'חומרי גלם'!A:D,4,0)</f>
        <v>גרם</v>
      </c>
      <c r="D4" s="11">
        <f>ROUNDUP(Recipe1058616467[[#This Row],[כמות במתכון]]*VLOOKUP(Recipe1058616467[[#This Row],[חומר גלם]],'חומרי גלם'!A:D,2,0)/VLOOKUP(Recipe1058616467[[#This Row],[חומר גלם]],'חומרי גלם'!A:D,3,0),2)</f>
        <v>30</v>
      </c>
      <c r="J4" s="16">
        <v>1</v>
      </c>
      <c r="K4" s="17">
        <f>ROUNDUP(D1/J4,2)</f>
        <v>72.040000000000006</v>
      </c>
      <c r="L4" s="17" cm="1">
        <f t="array" ref="L4">ROUNDUP(Work1159626568[עלות עבודה]/J4,2)</f>
        <v>175</v>
      </c>
      <c r="M4" s="8">
        <f>L4+K4</f>
        <v>247.04000000000002</v>
      </c>
      <c r="O4" s="3" t="s">
        <v>126</v>
      </c>
      <c r="P4" s="3">
        <v>1</v>
      </c>
      <c r="Q4" s="11">
        <f>ROUNDUP(VLOOKUP(SinglePack1260636669[[#This Row],[מוצר]],אריזות!A:C,2,0)/VLOOKUP(SinglePack1260636669[[#This Row],[מוצר]],אריזות!A:C,3,0)*SinglePack1260636669[[#This Row],[כמות]],2)</f>
        <v>0.2</v>
      </c>
    </row>
    <row r="5" spans="1:20" ht="24.95" customHeight="1" x14ac:dyDescent="0.3">
      <c r="A5" s="3" t="s">
        <v>48</v>
      </c>
      <c r="B5" s="3">
        <v>800</v>
      </c>
      <c r="C5" s="10" t="str">
        <f>VLOOKUP(Recipe1058616467[[#This Row],[חומר גלם]],'חומרי גלם'!A:D,4,0)</f>
        <v>גרם</v>
      </c>
      <c r="D5" s="11">
        <f>ROUNDUP(Recipe1058616467[[#This Row],[כמות במתכון]]*VLOOKUP(Recipe1058616467[[#This Row],[חומר גלם]],'חומרי גלם'!A:D,2,0)/VLOOKUP(Recipe1058616467[[#This Row],[חומר גלם]],'חומרי גלם'!A:D,3,0),2)</f>
        <v>4.16</v>
      </c>
    </row>
    <row r="6" spans="1:20" ht="24.95" customHeight="1" x14ac:dyDescent="0.3">
      <c r="A6" s="3" t="s">
        <v>63</v>
      </c>
      <c r="B6" s="3">
        <v>200</v>
      </c>
      <c r="C6" s="10" t="str">
        <f>VLOOKUP(Recipe1058616467[[#This Row],[חומר גלם]],'חומרי גלם'!A:D,4,0)</f>
        <v>מיליליטר</v>
      </c>
      <c r="D6" s="11">
        <f>ROUNDUP(Recipe1058616467[[#This Row],[כמות במתכון]]*VLOOKUP(Recipe1058616467[[#This Row],[חומר גלם]],'חומרי גלם'!A:D,2,0)/VLOOKUP(Recipe1058616467[[#This Row],[חומר גלם]],'חומרי גלם'!A:D,3,0),2)</f>
        <v>2.98</v>
      </c>
    </row>
    <row r="7" spans="1:20" ht="24.95" customHeight="1" x14ac:dyDescent="0.3">
      <c r="A7" s="3" t="s">
        <v>214</v>
      </c>
      <c r="B7" s="3">
        <v>1</v>
      </c>
      <c r="C7" s="10" t="str">
        <f>VLOOKUP(Recipe1058616467[[#This Row],[חומר גלם]],'חומרי גלם'!A:D,4,0)</f>
        <v>יחידות</v>
      </c>
      <c r="D7" s="11">
        <f>ROUNDUP(Recipe1058616467[[#This Row],[כמות במתכון]]*VLOOKUP(Recipe1058616467[[#This Row],[חומר גלם]],'חומרי גלם'!A:D,2,0)/VLOOKUP(Recipe1058616467[[#This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CD326E65-5DBF-498F-A99E-03E3ACD57617}">
      <formula1>INDIRECT("Packages[מוצר]")</formula1>
    </dataValidation>
    <dataValidation type="list" allowBlank="1" showInputMessage="1" showErrorMessage="1" sqref="A3:A7" xr:uid="{5743A909-EFA2-4295-8919-B340A49652CE}">
      <formula1>INDIRECT("Ingredients[חומר גלם]")</formula1>
    </dataValidation>
  </dataValidations>
  <hyperlinks>
    <hyperlink ref="T1" location="ראשי!A1" display="חזרה לתפריט" xr:uid="{6B7F06D1-1EA3-4A04-BD29-FAB56471D476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4A322-68CF-4B39-9BB9-0246F6678BED}">
  <sheetPr>
    <tabColor theme="9"/>
  </sheetPr>
  <dimension ref="A1:T12"/>
  <sheetViews>
    <sheetView rightToLeft="1" workbookViewId="0">
      <selection activeCell="B13" sqref="B13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ROUNDUP(SUM(Recipe10586164[עלות למתכון]),2)</f>
        <v>55.91</v>
      </c>
      <c r="F1" s="5" t="s">
        <v>9</v>
      </c>
      <c r="J1" s="5" t="s">
        <v>21</v>
      </c>
      <c r="O1" s="5" t="s">
        <v>20</v>
      </c>
      <c r="Q1" s="8">
        <f>SUM(SinglePack12606366[עלות])</f>
        <v>3.2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330</v>
      </c>
      <c r="C3" s="10" t="str">
        <f>VLOOKUP(Recipe10586164[[#This Row],[חומר גלם]],'חומרי גלם'!A:D,4,0)</f>
        <v>גרם</v>
      </c>
      <c r="D3" s="11">
        <f>ROUNDUP(Recipe10586164[[#This Row],[כמות במתכון]]*VLOOKUP(Recipe10586164[[#This Row],[חומר גלם]],'חומרי גלם'!A:D,2,0)/VLOOKUP(Recipe10586164[[#This Row],[חומר גלם]],'חומרי גלם'!A:D,3,0),2)</f>
        <v>2.84</v>
      </c>
      <c r="F3" s="3">
        <v>0.4</v>
      </c>
      <c r="G3" s="3">
        <v>100</v>
      </c>
      <c r="H3" s="10">
        <f>Work11596265[[#This Row],[עלות לשעת עבודה]]*Work11596265[[#This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107</v>
      </c>
      <c r="P3" s="3">
        <v>1</v>
      </c>
      <c r="Q3" s="11">
        <f>ROUNDUP(VLOOKUP(SinglePack12606366[[#This Row],[מוצר]],אריזות!A:C,2,0)/VLOOKUP(SinglePack12606366[[#This Row],[מוצר]],אריזות!A:C,3,0)*SinglePack12606366[[#This Row],[כמות]],2)</f>
        <v>3</v>
      </c>
      <c r="S3" s="15">
        <f>Q1+M4</f>
        <v>51.160000000000004</v>
      </c>
    </row>
    <row r="4" spans="1:20" ht="24.95" customHeight="1" thickTop="1" x14ac:dyDescent="0.3">
      <c r="A4" s="3" t="s">
        <v>58</v>
      </c>
      <c r="B4" s="3">
        <v>100</v>
      </c>
      <c r="C4" s="10" t="str">
        <f>VLOOKUP(Recipe10586164[[#This Row],[חומר גלם]],'חומרי גלם'!A:D,4,0)</f>
        <v>גרם</v>
      </c>
      <c r="D4" s="11">
        <f>ROUNDUP(Recipe10586164[[#This Row],[כמות במתכון]]*VLOOKUP(Recipe10586164[[#This Row],[חומר גלם]],'חומרי גלם'!A:D,2,0)/VLOOKUP(Recipe10586164[[#This Row],[חומר גלם]],'חומרי גלם'!A:D,3,0),2)</f>
        <v>1</v>
      </c>
      <c r="J4" s="16">
        <v>2</v>
      </c>
      <c r="K4" s="17">
        <f>ROUNDUP(D1/J4,2)</f>
        <v>27.96</v>
      </c>
      <c r="L4" s="17" cm="1">
        <f t="array" ref="L4">ROUNDUP(Work11596265[עלות עבודה]/J4,2)</f>
        <v>20</v>
      </c>
      <c r="M4" s="8">
        <f>L4+K4</f>
        <v>47.96</v>
      </c>
      <c r="O4" s="3" t="s">
        <v>126</v>
      </c>
      <c r="P4" s="3">
        <v>1</v>
      </c>
      <c r="Q4" s="11">
        <f>ROUNDUP(VLOOKUP(SinglePack12606366[[#This Row],[מוצר]],אריזות!A:C,2,0)/VLOOKUP(SinglePack12606366[[#This Row],[מוצר]],אריזות!A:C,3,0)*SinglePack12606366[[#This Row],[כמות]],2)</f>
        <v>0.2</v>
      </c>
    </row>
    <row r="5" spans="1:20" ht="24.95" customHeight="1" x14ac:dyDescent="0.3">
      <c r="A5" s="3" t="s">
        <v>52</v>
      </c>
      <c r="B5" s="3">
        <v>0.5</v>
      </c>
      <c r="C5" s="10" t="str">
        <f>VLOOKUP(Recipe10586164[[#This Row],[חומר גלם]],'חומרי גלם'!A:D,4,0)</f>
        <v>גרם</v>
      </c>
      <c r="D5" s="11">
        <f>ROUNDUP(Recipe10586164[[#This Row],[כמות במתכון]]*VLOOKUP(Recipe10586164[[#This Row],[חומר גלם]],'חומרי גלם'!A:D,2,0)/VLOOKUP(Recipe10586164[[#This Row],[חומר גלם]],'חומרי גלם'!A:D,3,0),2)</f>
        <v>0.01</v>
      </c>
    </row>
    <row r="6" spans="1:20" ht="24.95" customHeight="1" x14ac:dyDescent="0.3">
      <c r="A6" s="3" t="s">
        <v>73</v>
      </c>
      <c r="B6" s="3">
        <v>200</v>
      </c>
      <c r="C6" s="10" t="str">
        <f>VLOOKUP(Recipe10586164[[#This Row],[חומר גלם]],'חומרי גלם'!A:D,4,0)</f>
        <v>גרם</v>
      </c>
      <c r="D6" s="11">
        <f>ROUNDUP(Recipe10586164[[#This Row],[כמות במתכון]]*VLOOKUP(Recipe10586164[[#This Row],[חומר גלם]],'חומרי גלם'!A:D,2,0)/VLOOKUP(Recipe10586164[[#This Row],[חומר גלם]],'חומרי גלם'!A:D,3,0),2)</f>
        <v>9</v>
      </c>
    </row>
    <row r="7" spans="1:20" ht="24.95" customHeight="1" x14ac:dyDescent="0.3">
      <c r="A7" s="3" t="s">
        <v>98</v>
      </c>
      <c r="B7" s="3">
        <v>1</v>
      </c>
      <c r="C7" s="10" t="str">
        <f>VLOOKUP(Recipe10586164[[#This Row],[חומר גלם]],'חומרי גלם'!A:D,4,0)</f>
        <v>יחידות</v>
      </c>
      <c r="D7" s="11">
        <f>ROUNDUP(Recipe10586164[[#This Row],[כמות במתכון]]*VLOOKUP(Recipe10586164[[#This Row],[חומר גלם]],'חומרי גלם'!A:D,2,0)/VLOOKUP(Recipe10586164[[#This Row],[חומר גלם]],'חומרי גלם'!A:D,3,0),2)</f>
        <v>1.17</v>
      </c>
    </row>
    <row r="8" spans="1:20" ht="24.95" customHeight="1" x14ac:dyDescent="0.3">
      <c r="A8" s="3" t="s">
        <v>66</v>
      </c>
      <c r="B8" s="3">
        <v>45</v>
      </c>
      <c r="C8" s="10" t="str">
        <f>VLOOKUP(Recipe10586164[[#This Row],[חומר גלם]],'חומרי גלם'!A:D,4,0)</f>
        <v>מיליליטר</v>
      </c>
      <c r="D8" s="11">
        <f>ROUNDUP(Recipe10586164[[#This Row],[כמות במתכון]]*VLOOKUP(Recipe10586164[[#This Row],[חומר גלם]],'חומרי גלם'!A:D,2,0)/VLOOKUP(Recipe10586164[[#This Row],[חומר גלם]],'חומרי גלם'!A:D,3,0),2)</f>
        <v>0.31</v>
      </c>
    </row>
    <row r="9" spans="1:20" ht="24.95" customHeight="1" x14ac:dyDescent="0.3">
      <c r="A9" s="3" t="s">
        <v>145</v>
      </c>
      <c r="B9" s="3">
        <v>250</v>
      </c>
      <c r="C9" s="10" t="str">
        <f>VLOOKUP(Recipe10586164[[#This Row],[חומר גלם]],'חומרי גלם'!A:D,4,0)</f>
        <v>גרם</v>
      </c>
      <c r="D9" s="11">
        <f>ROUNDUP(Recipe10586164[[#This Row],[כמות במתכון]]*VLOOKUP(Recipe10586164[[#This Row],[חומר גלם]],'חומרי גלם'!A:D,2,0)/VLOOKUP(Recipe10586164[[#This Row],[חומר גלם]],'חומרי גלם'!A:D,3,0),2)</f>
        <v>15</v>
      </c>
    </row>
    <row r="10" spans="1:20" ht="24.95" customHeight="1" x14ac:dyDescent="0.3">
      <c r="A10" s="3" t="s">
        <v>164</v>
      </c>
      <c r="B10" s="3">
        <v>50</v>
      </c>
      <c r="C10" s="10" t="str">
        <f>VLOOKUP(Recipe10586164[[#This Row],[חומר גלם]],'חומרי גלם'!A:D,4,0)</f>
        <v>גרם</v>
      </c>
      <c r="D10" s="11">
        <f>ROUNDUP(Recipe10586164[[#This Row],[כמות במתכון]]*VLOOKUP(Recipe10586164[[#This Row],[חומר גלם]],'חומרי גלם'!A:D,2,0)/VLOOKUP(Recipe10586164[[#This Row],[חומר גלם]],'חומרי גלם'!A:D,3,0),2)</f>
        <v>7</v>
      </c>
    </row>
    <row r="11" spans="1:20" ht="24.95" customHeight="1" x14ac:dyDescent="0.3">
      <c r="A11" s="3" t="s">
        <v>64</v>
      </c>
      <c r="B11" s="3">
        <v>100</v>
      </c>
      <c r="C11" s="10" t="str">
        <f>VLOOKUP(Recipe10586164[[#This Row],[חומר גלם]],'חומרי גלם'!A:D,4,0)</f>
        <v>גרם</v>
      </c>
      <c r="D11" s="11">
        <f>ROUNDUP(Recipe10586164[[#This Row],[כמות במתכון]]*VLOOKUP(Recipe10586164[[#This Row],[חומר גלם]],'חומרי גלם'!A:D,2,0)/VLOOKUP(Recipe10586164[[#This Row],[חומר גלם]],'חומרי גלם'!A:D,3,0),2)</f>
        <v>4.58</v>
      </c>
    </row>
    <row r="12" spans="1:20" ht="24.95" customHeight="1" x14ac:dyDescent="0.3">
      <c r="A12" s="3" t="s">
        <v>214</v>
      </c>
      <c r="B12" s="3">
        <v>1</v>
      </c>
      <c r="C12" s="10" t="str">
        <f>VLOOKUP(Recipe10586164[[#This Row],[חומר גלם]],'חומרי גלם'!A:D,4,0)</f>
        <v>יחידות</v>
      </c>
      <c r="D12" s="11">
        <f>ROUNDUP(Recipe10586164[[#This Row],[כמות במתכון]]*VLOOKUP(Recipe10586164[[#This Row],[חומר גלם]],'חומרי גלם'!A:D,2,0)/VLOOKUP(Recipe10586164[[#This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2" xr:uid="{B4FA3B01-5359-4590-9D5F-ABB5224E4888}">
      <formula1>INDIRECT("Ingredients[חומר גלם]")</formula1>
    </dataValidation>
    <dataValidation type="list" allowBlank="1" showInputMessage="1" showErrorMessage="1" sqref="O3:O4" xr:uid="{33DE67C9-4E89-4ABF-B756-44E8E3212C62}">
      <formula1>INDIRECT("Packages[מוצר]")</formula1>
    </dataValidation>
  </dataValidations>
  <hyperlinks>
    <hyperlink ref="T1" location="ראשי!A1" display="חזרה לתפריט" xr:uid="{B3E0F7EA-A504-43F8-A551-8B1F6D4151DB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FC21B-9E5E-47E8-8088-74A171E908D2}">
  <sheetPr>
    <tabColor theme="9"/>
  </sheetPr>
  <dimension ref="A1:T13"/>
  <sheetViews>
    <sheetView rightToLeft="1" workbookViewId="0">
      <selection activeCell="F19" sqref="F19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ROUNDUP(SUM(Recipe105861[עלות למתכון]),2)</f>
        <v>28.34</v>
      </c>
      <c r="F1" s="5" t="s">
        <v>9</v>
      </c>
      <c r="J1" s="5" t="s">
        <v>21</v>
      </c>
      <c r="O1" s="5" t="s">
        <v>20</v>
      </c>
      <c r="Q1" s="8">
        <f>SUM(SinglePack126063[עלות])</f>
        <v>3.2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100</v>
      </c>
      <c r="C3" s="10" t="str">
        <f>VLOOKUP(Recipe105861[[#This Row],[חומר גלם]],'חומרי גלם'!A:D,4,0)</f>
        <v>גרם</v>
      </c>
      <c r="D3" s="11">
        <f>ROUNDUP(Recipe105861[[#This Row],[כמות במתכון]]*VLOOKUP(Recipe105861[[#This Row],[חומר גלם]],'חומרי גלם'!A:D,2,0)/VLOOKUP(Recipe105861[[#This Row],[חומר גלם]],'חומרי גלם'!A:D,3,0),2)</f>
        <v>4.5</v>
      </c>
      <c r="F3" s="3">
        <v>0.4</v>
      </c>
      <c r="G3" s="3">
        <v>100</v>
      </c>
      <c r="H3" s="10">
        <f>Work115962[[#This Row],[עלות לשעת עבודה]]*Work115962[[#This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107</v>
      </c>
      <c r="P3" s="3">
        <v>1</v>
      </c>
      <c r="Q3" s="11">
        <f>ROUNDUP(VLOOKUP(SinglePack126063[[#This Row],[מוצר]],אריזות!A:C,2,0)/VLOOKUP(SinglePack126063[[#This Row],[מוצר]],אריזות!A:C,3,0)*SinglePack126063[[#This Row],[כמות]],2)</f>
        <v>3</v>
      </c>
      <c r="S3" s="15">
        <f>Q1+M4</f>
        <v>71.540000000000006</v>
      </c>
    </row>
    <row r="4" spans="1:20" ht="24.95" customHeight="1" thickTop="1" x14ac:dyDescent="0.3">
      <c r="A4" s="3" t="s">
        <v>48</v>
      </c>
      <c r="B4" s="3">
        <v>130</v>
      </c>
      <c r="C4" s="10" t="str">
        <f>VLOOKUP(Recipe105861[[#This Row],[חומר גלם]],'חומרי גלם'!A:D,4,0)</f>
        <v>גרם</v>
      </c>
      <c r="D4" s="11">
        <f>ROUNDUP(Recipe105861[[#This Row],[כמות במתכון]]*VLOOKUP(Recipe105861[[#This Row],[חומר גלם]],'חומרי גלם'!A:D,2,0)/VLOOKUP(Recipe105861[[#This Row],[חומר גלם]],'חומרי גלם'!A:D,3,0),2)</f>
        <v>0.68</v>
      </c>
      <c r="J4" s="16">
        <v>1</v>
      </c>
      <c r="K4" s="17">
        <f>ROUNDUP(D1/J4,2)</f>
        <v>28.34</v>
      </c>
      <c r="L4" s="17" cm="1">
        <f t="array" ref="L4">ROUNDUP(Work115962[עלות עבודה]/J4,2)</f>
        <v>40</v>
      </c>
      <c r="M4" s="8">
        <f>L4+K4</f>
        <v>68.34</v>
      </c>
      <c r="O4" s="3" t="s">
        <v>126</v>
      </c>
      <c r="P4" s="3">
        <v>1</v>
      </c>
      <c r="Q4" s="11">
        <f>ROUNDUP(VLOOKUP(SinglePack126063[[#This Row],[מוצר]],אריזות!A:C,2,0)/VLOOKUP(SinglePack126063[[#This Row],[מוצר]],אריזות!A:C,3,0)*SinglePack126063[[#This Row],[כמות]],2)</f>
        <v>0.2</v>
      </c>
    </row>
    <row r="5" spans="1:20" ht="24.95" customHeight="1" x14ac:dyDescent="0.3">
      <c r="A5" s="3" t="s">
        <v>54</v>
      </c>
      <c r="B5" s="3">
        <v>30</v>
      </c>
      <c r="C5" s="10" t="str">
        <f>VLOOKUP(Recipe105861[[#This Row],[חומר גלם]],'חומרי גלם'!A:D,4,0)</f>
        <v>גרם</v>
      </c>
      <c r="D5" s="11">
        <f>ROUNDUP(Recipe105861[[#This Row],[כמות במתכון]]*VLOOKUP(Recipe105861[[#This Row],[חומר גלם]],'חומרי גלם'!A:D,2,0)/VLOOKUP(Recipe105861[[#This Row],[חומר גלם]],'חומרי גלם'!A:D,3,0),2)</f>
        <v>1.31</v>
      </c>
    </row>
    <row r="6" spans="1:20" ht="24.95" customHeight="1" x14ac:dyDescent="0.3">
      <c r="A6" s="3" t="s">
        <v>52</v>
      </c>
      <c r="B6" s="3">
        <v>1.5</v>
      </c>
      <c r="C6" s="10" t="str">
        <f>VLOOKUP(Recipe105861[[#This Row],[חומר גלם]],'חומרי גלם'!A:D,4,0)</f>
        <v>גרם</v>
      </c>
      <c r="D6" s="11">
        <f>ROUNDUP(Recipe105861[[#This Row],[כמות במתכון]]*VLOOKUP(Recipe105861[[#This Row],[חומר גלם]],'חומרי גלם'!A:D,2,0)/VLOOKUP(Recipe105861[[#This Row],[חומר גלם]],'חומרי גלם'!A:D,3,0),2)</f>
        <v>0.01</v>
      </c>
    </row>
    <row r="7" spans="1:20" ht="24.95" customHeight="1" x14ac:dyDescent="0.3">
      <c r="A7" s="3" t="s">
        <v>56</v>
      </c>
      <c r="B7" s="3">
        <v>1</v>
      </c>
      <c r="C7" s="10" t="str">
        <f>VLOOKUP(Recipe105861[[#This Row],[חומר גלם]],'חומרי גלם'!A:D,4,0)</f>
        <v>גרם</v>
      </c>
      <c r="D7" s="11">
        <f>ROUNDUP(Recipe105861[[#This Row],[כמות במתכון]]*VLOOKUP(Recipe105861[[#This Row],[חומר גלם]],'חומרי גלם'!A:D,2,0)/VLOOKUP(Recipe105861[[#This Row],[חומר גלם]],'חומרי גלם'!A:D,3,0),2)</f>
        <v>0.02</v>
      </c>
    </row>
    <row r="8" spans="1:20" ht="24.95" customHeight="1" x14ac:dyDescent="0.3">
      <c r="A8" s="3" t="s">
        <v>97</v>
      </c>
      <c r="B8" s="3">
        <v>1.5</v>
      </c>
      <c r="C8" s="10" t="str">
        <f>VLOOKUP(Recipe105861[[#This Row],[חומר גלם]],'חומרי גלם'!A:D,4,0)</f>
        <v>יחידות</v>
      </c>
      <c r="D8" s="11">
        <f>ROUNDUP(Recipe105861[[#This Row],[כמות במתכון]]*VLOOKUP(Recipe105861[[#This Row],[חומר גלם]],'חומרי גלם'!A:D,2,0)/VLOOKUP(Recipe105861[[#This Row],[חומר גלם]],'חומרי גלם'!A:D,3,0),2)</f>
        <v>1.62</v>
      </c>
    </row>
    <row r="9" spans="1:20" ht="24.95" customHeight="1" x14ac:dyDescent="0.3">
      <c r="A9" s="3" t="s">
        <v>43</v>
      </c>
      <c r="B9" s="3">
        <v>70</v>
      </c>
      <c r="C9" s="10" t="str">
        <f>VLOOKUP(Recipe105861[[#This Row],[חומר גלם]],'חומרי גלם'!A:D,4,0)</f>
        <v>גרם</v>
      </c>
      <c r="D9" s="11">
        <f>ROUNDUP(Recipe105861[[#This Row],[כמות במתכון]]*VLOOKUP(Recipe105861[[#This Row],[חומר גלם]],'חומרי גלם'!A:D,2,0)/VLOOKUP(Recipe105861[[#This Row],[חומר גלם]],'חומרי גלם'!A:D,3,0),2)</f>
        <v>0.61</v>
      </c>
    </row>
    <row r="10" spans="1:20" ht="24.95" customHeight="1" x14ac:dyDescent="0.3">
      <c r="A10" s="3" t="s">
        <v>117</v>
      </c>
      <c r="B10" s="3">
        <v>60</v>
      </c>
      <c r="C10" s="10" t="str">
        <f>VLOOKUP(Recipe105861[[#This Row],[חומר גלם]],'חומרי גלם'!A:D,4,0)</f>
        <v>גרם</v>
      </c>
      <c r="D10" s="11">
        <f>ROUNDUP(Recipe105861[[#This Row],[כמות במתכון]]*VLOOKUP(Recipe105861[[#This Row],[חומר גלם]],'חומרי גלם'!A:D,2,0)/VLOOKUP(Recipe105861[[#This Row],[חומר גלם]],'חומרי גלם'!A:D,3,0),2)</f>
        <v>1.95</v>
      </c>
    </row>
    <row r="11" spans="1:20" ht="24.95" customHeight="1" x14ac:dyDescent="0.3">
      <c r="A11" s="3" t="s">
        <v>53</v>
      </c>
      <c r="B11" s="3">
        <v>0.5</v>
      </c>
      <c r="C11" s="10" t="str">
        <f>VLOOKUP(Recipe105861[[#This Row],[חומר גלם]],'חומרי גלם'!A:D,4,0)</f>
        <v>גרם</v>
      </c>
      <c r="D11" s="11">
        <f>ROUNDUP(Recipe105861[[#This Row],[כמות במתכון]]*VLOOKUP(Recipe105861[[#This Row],[חומר גלם]],'חומרי גלם'!A:D,2,0)/VLOOKUP(Recipe105861[[#This Row],[חומר גלם]],'חומרי גלם'!A:D,3,0),2)</f>
        <v>0.01</v>
      </c>
    </row>
    <row r="12" spans="1:20" ht="24.95" customHeight="1" x14ac:dyDescent="0.3">
      <c r="A12" s="3" t="s">
        <v>119</v>
      </c>
      <c r="B12" s="3">
        <v>70</v>
      </c>
      <c r="C12" s="10" t="str">
        <f>VLOOKUP(Recipe105861[[#This Row],[חומר גלם]],'חומרי גלם'!A:D,4,0)</f>
        <v>גרם</v>
      </c>
      <c r="D12" s="11">
        <f>ROUNDUP(Recipe105861[[#This Row],[כמות במתכון]]*VLOOKUP(Recipe105861[[#This Row],[חומר גלם]],'חומרי גלם'!A:D,2,0)/VLOOKUP(Recipe105861[[#This Row],[חומר גלם]],'חומרי גלם'!A:D,3,0),2)</f>
        <v>2.63</v>
      </c>
    </row>
    <row r="13" spans="1:20" ht="24.95" customHeight="1" x14ac:dyDescent="0.3">
      <c r="A13" s="3" t="s">
        <v>214</v>
      </c>
      <c r="B13" s="3">
        <v>1</v>
      </c>
      <c r="C13" s="10" t="str">
        <f>VLOOKUP(Recipe105861[[#This Row],[חומר גלם]],'חומרי גלם'!A:D,4,0)</f>
        <v>יחידות</v>
      </c>
      <c r="D13" s="11">
        <f>ROUNDUP(Recipe105861[[#This Row],[כמות במתכון]]*VLOOKUP(Recipe105861[[#This Row],[חומר גלם]],'חומרי גלם'!A:D,2,0)/VLOOKUP(Recipe105861[[#This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4892A441-72C8-4004-9047-0E5C92084D12}">
      <formula1>INDIRECT("Packages[מוצר]")</formula1>
    </dataValidation>
    <dataValidation type="list" allowBlank="1" showInputMessage="1" showErrorMessage="1" sqref="A3:A13" xr:uid="{25662280-B76A-4FA4-BDAC-28F4310A45EB}">
      <formula1>INDIRECT("Ingredients[חומר גלם]")</formula1>
    </dataValidation>
  </dataValidations>
  <hyperlinks>
    <hyperlink ref="T1" location="ראשי!A1" display="חזרה לתפריט" xr:uid="{0ED27894-206B-451A-A02C-167E82F65B16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F08C0-2759-4750-8111-47E29108C6F9}">
  <sheetPr>
    <tabColor theme="9"/>
  </sheetPr>
  <dimension ref="A1:T8"/>
  <sheetViews>
    <sheetView rightToLeft="1" workbookViewId="0">
      <selection activeCell="J8" sqref="J8"/>
    </sheetView>
  </sheetViews>
  <sheetFormatPr defaultColWidth="13.85546875" defaultRowHeight="24.95" customHeight="1" x14ac:dyDescent="0.3"/>
  <cols>
    <col min="1" max="1" width="20.5703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ROUNDUP(SUM(Recipe1058[עלות למתכון]),2)</f>
        <v>22.07</v>
      </c>
      <c r="F1" s="5" t="s">
        <v>9</v>
      </c>
      <c r="J1" s="5" t="s">
        <v>21</v>
      </c>
      <c r="O1" s="5" t="s">
        <v>20</v>
      </c>
      <c r="Q1" s="8">
        <f>SUM(SinglePack1260[עלות])</f>
        <v>3.2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250</v>
      </c>
      <c r="C3" s="10" t="str">
        <f>VLOOKUP(Recipe1058[[#This Row],[חומר גלם]],'חומרי גלם'!A:D,4,0)</f>
        <v>גרם</v>
      </c>
      <c r="D3" s="11">
        <f>ROUNDUP(Recipe1058[[#This Row],[כמות במתכון]]*VLOOKUP(Recipe1058[[#This Row],[חומר גלם]],'חומרי גלם'!A:D,2,0)/VLOOKUP(Recipe1058[[#This Row],[חומר גלם]],'חומרי גלם'!A:D,3,0),2)</f>
        <v>5.75</v>
      </c>
      <c r="F3" s="3">
        <v>0.4</v>
      </c>
      <c r="G3" s="3">
        <v>100</v>
      </c>
      <c r="H3" s="10">
        <f>Work1159[[#This Row],[עלות לשעת עבודה]]*Work1159[[#This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107</v>
      </c>
      <c r="P3" s="3">
        <v>1</v>
      </c>
      <c r="Q3" s="11">
        <f>ROUNDUP(VLOOKUP(SinglePack1260[[#This Row],[מוצר]],אריזות!A:C,2,0)/VLOOKUP(SinglePack1260[[#This Row],[מוצר]],אריזות!A:C,3,0)*SinglePack1260[[#This Row],[כמות]],2)</f>
        <v>3</v>
      </c>
      <c r="S3" s="15">
        <f>Q1+M4</f>
        <v>65.27</v>
      </c>
    </row>
    <row r="4" spans="1:20" ht="24.95" customHeight="1" thickTop="1" x14ac:dyDescent="0.3">
      <c r="A4" s="3" t="s">
        <v>119</v>
      </c>
      <c r="B4" s="3">
        <v>100</v>
      </c>
      <c r="C4" s="10" t="str">
        <f>VLOOKUP(Recipe1058[[#This Row],[חומר גלם]],'חומרי גלם'!A:D,4,0)</f>
        <v>גרם</v>
      </c>
      <c r="D4" s="11">
        <f>ROUNDUP(Recipe1058[[#This Row],[כמות במתכון]]*VLOOKUP(Recipe1058[[#This Row],[חומר גלם]],'חומרי גלם'!A:D,2,0)/VLOOKUP(Recipe1058[[#This Row],[חומר גלם]],'חומרי גלם'!A:D,3,0),2)</f>
        <v>3.75</v>
      </c>
      <c r="J4" s="16">
        <v>1</v>
      </c>
      <c r="K4" s="17">
        <f>ROUNDUP(D1/J4,2)</f>
        <v>22.07</v>
      </c>
      <c r="L4" s="17" cm="1">
        <f t="array" ref="L4">ROUNDUP(Work1159[עלות עבודה]/J4,2)</f>
        <v>40</v>
      </c>
      <c r="M4" s="8">
        <f>L4+K4</f>
        <v>62.07</v>
      </c>
      <c r="O4" s="3" t="s">
        <v>126</v>
      </c>
      <c r="P4" s="3">
        <v>1</v>
      </c>
      <c r="Q4" s="11">
        <f>ROUNDUP(VLOOKUP(SinglePack1260[[#This Row],[מוצר]],אריזות!A:C,2,0)/VLOOKUP(SinglePack1260[[#This Row],[מוצר]],אריזות!A:C,3,0)*SinglePack1260[[#This Row],[כמות]],2)</f>
        <v>0.2</v>
      </c>
    </row>
    <row r="5" spans="1:20" ht="24.95" customHeight="1" x14ac:dyDescent="0.3">
      <c r="A5" s="3" t="s">
        <v>75</v>
      </c>
      <c r="B5" s="3">
        <v>100</v>
      </c>
      <c r="C5" s="10" t="str">
        <f>VLOOKUP(Recipe1058[[#This Row],[חומר גלם]],'חומרי גלם'!A:D,4,0)</f>
        <v>גרם</v>
      </c>
      <c r="D5" s="11">
        <f>ROUNDUP(Recipe1058[[#This Row],[כמות במתכון]]*VLOOKUP(Recipe1058[[#This Row],[חומר גלם]],'חומרי גלם'!A:D,2,0)/VLOOKUP(Recipe1058[[#This Row],[חומר גלם]],'חומרי גלם'!A:D,3,0),2)</f>
        <v>5.64</v>
      </c>
    </row>
    <row r="6" spans="1:20" ht="24.95" customHeight="1" x14ac:dyDescent="0.3">
      <c r="A6" s="3" t="s">
        <v>73</v>
      </c>
      <c r="B6" s="3">
        <v>60</v>
      </c>
      <c r="C6" s="10" t="str">
        <f>VLOOKUP(Recipe1058[[#This Row],[חומר גלם]],'חומרי גלם'!A:D,4,0)</f>
        <v>גרם</v>
      </c>
      <c r="D6" s="11">
        <f>ROUNDUP(Recipe1058[[#This Row],[כמות במתכון]]*VLOOKUP(Recipe1058[[#This Row],[חומר גלם]],'חומרי גלם'!A:D,2,0)/VLOOKUP(Recipe1058[[#This Row],[חומר גלם]],'חומרי גלם'!A:D,3,0),2)</f>
        <v>2.7</v>
      </c>
    </row>
    <row r="7" spans="1:20" ht="24.95" customHeight="1" x14ac:dyDescent="0.3">
      <c r="A7" s="3" t="s">
        <v>35</v>
      </c>
      <c r="B7" s="3">
        <v>100</v>
      </c>
      <c r="C7" s="10" t="str">
        <f>VLOOKUP(Recipe1058[[#This Row],[חומר גלם]],'חומרי גלם'!A:D,4,0)</f>
        <v>גרם</v>
      </c>
      <c r="D7" s="11">
        <f>ROUNDUP(Recipe1058[[#This Row],[כמות במתכון]]*VLOOKUP(Recipe1058[[#This Row],[חומר גלם]],'חומרי גלם'!A:D,2,0)/VLOOKUP(Recipe1058[[#This Row],[חומר גלם]],'חומרי גלם'!A:D,3,0),2)</f>
        <v>2.8299999999999996</v>
      </c>
    </row>
    <row r="8" spans="1:20" ht="24.95" customHeight="1" x14ac:dyDescent="0.3">
      <c r="A8" s="3" t="s">
        <v>182</v>
      </c>
      <c r="B8" s="3">
        <v>50</v>
      </c>
      <c r="C8" s="10" t="str">
        <f>VLOOKUP(Recipe1058[[#This Row],[חומר גלם]],'חומרי גלם'!A:D,4,0)</f>
        <v>גרם</v>
      </c>
      <c r="D8" s="11">
        <f>ROUNDUP(Recipe1058[[#This Row],[כמות במתכון]]*VLOOKUP(Recipe1058[[#This Row],[חומר גלם]],'חומרי גלם'!A:D,2,0)/VLOOKUP(Recipe1058[[#This Row],[חומר גלם]],'חומרי גלם'!A:D,3,0),2)</f>
        <v>1.4</v>
      </c>
    </row>
  </sheetData>
  <mergeCells count="2">
    <mergeCell ref="J2:J3"/>
    <mergeCell ref="K2:M2"/>
  </mergeCells>
  <dataValidations count="2">
    <dataValidation type="list" allowBlank="1" showInputMessage="1" showErrorMessage="1" sqref="A3:A8" xr:uid="{C591A916-8F06-40BB-927F-B6169CAC1A03}">
      <formula1>INDIRECT("Ingredients[חומר גלם]")</formula1>
    </dataValidation>
    <dataValidation type="list" allowBlank="1" showInputMessage="1" showErrorMessage="1" sqref="O3:O4" xr:uid="{CBB485D0-E087-4BD6-8977-2CE09EB8691C}">
      <formula1>INDIRECT("Packages[מוצר]")</formula1>
    </dataValidation>
  </dataValidations>
  <hyperlinks>
    <hyperlink ref="T1" location="ראשי!A1" display="חזרה לתפריט" xr:uid="{851E67B8-830C-49B9-B192-678AF359C808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D6C1F-E367-4DD7-A557-DD51C6882EA7}">
  <sheetPr>
    <tabColor theme="9"/>
  </sheetPr>
  <dimension ref="A1:T14"/>
  <sheetViews>
    <sheetView rightToLeft="1" workbookViewId="0">
      <selection activeCell="B15" sqref="B15"/>
    </sheetView>
  </sheetViews>
  <sheetFormatPr defaultColWidth="13.85546875" defaultRowHeight="24.95" customHeight="1" x14ac:dyDescent="0.3"/>
  <cols>
    <col min="1" max="1" width="15.285156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ROUNDUP(SUM(Recipe10[עלות למתכון]),2)</f>
        <v>41.31</v>
      </c>
      <c r="F1" s="5" t="s">
        <v>9</v>
      </c>
      <c r="J1" s="5" t="s">
        <v>21</v>
      </c>
      <c r="O1" s="5" t="s">
        <v>20</v>
      </c>
      <c r="Q1" s="8">
        <f>SUM(SinglePack12[עלות])</f>
        <v>3.2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200</v>
      </c>
      <c r="C3" s="10" t="str">
        <f>VLOOKUP(Recipe10[[#This Row],[חומר גלם]],'חומרי גלם'!A:D,4,0)</f>
        <v>גרם</v>
      </c>
      <c r="D3" s="11">
        <f>ROUNDUP(Recipe10[[#This Row],[כמות במתכון]]*VLOOKUP(Recipe10[[#This Row],[חומר גלם]],'חומרי גלם'!A:D,2,0)/VLOOKUP(Recipe10[[#This Row],[חומר גלם]],'חומרי גלם'!A:D,3,0),2)</f>
        <v>9</v>
      </c>
      <c r="F3" s="3">
        <v>1.5</v>
      </c>
      <c r="G3" s="3">
        <v>100</v>
      </c>
      <c r="H3" s="10">
        <f>Work11[[#This Row],[עלות לשעת עבודה]]*Work11[[#This Row],[שעות עבודה]]</f>
        <v>150</v>
      </c>
      <c r="J3" s="25"/>
      <c r="K3" s="12" t="s">
        <v>14</v>
      </c>
      <c r="L3" s="13" t="s">
        <v>9</v>
      </c>
      <c r="M3" s="14" t="s">
        <v>15</v>
      </c>
      <c r="O3" s="3" t="s">
        <v>107</v>
      </c>
      <c r="P3" s="3">
        <v>1</v>
      </c>
      <c r="Q3" s="11">
        <f>ROUNDUP(VLOOKUP(SinglePack12[[#This Row],[מוצר]],אריזות!A:C,2,0)/VLOOKUP(SinglePack12[[#This Row],[מוצר]],אריזות!A:C,3,0)*SinglePack12[[#This Row],[כמות]],2)</f>
        <v>3</v>
      </c>
      <c r="S3" s="15">
        <f>Q1+M4</f>
        <v>7.55</v>
      </c>
    </row>
    <row r="4" spans="1:20" ht="24.95" customHeight="1" thickTop="1" x14ac:dyDescent="0.3">
      <c r="A4" s="3" t="s">
        <v>48</v>
      </c>
      <c r="B4" s="3">
        <v>80</v>
      </c>
      <c r="C4" s="10" t="str">
        <f>VLOOKUP(Recipe10[[#This Row],[חומר גלם]],'חומרי גלם'!A:D,4,0)</f>
        <v>גרם</v>
      </c>
      <c r="D4" s="11">
        <f>ROUNDUP(Recipe10[[#This Row],[כמות במתכון]]*VLOOKUP(Recipe10[[#This Row],[חומר גלם]],'חומרי גלם'!A:D,2,0)/VLOOKUP(Recipe10[[#This Row],[חומר גלם]],'חומרי גלם'!A:D,3,0),2)</f>
        <v>0.42</v>
      </c>
      <c r="J4" s="16">
        <v>44</v>
      </c>
      <c r="K4" s="17">
        <f>ROUNDUP(D1/J4,2)</f>
        <v>0.94000000000000006</v>
      </c>
      <c r="L4" s="17" cm="1">
        <f t="array" ref="L4">ROUNDUP(Work11[עלות עבודה]/J4,2)</f>
        <v>3.4099999999999997</v>
      </c>
      <c r="M4" s="8">
        <f>L4+K4</f>
        <v>4.3499999999999996</v>
      </c>
      <c r="O4" s="3" t="s">
        <v>126</v>
      </c>
      <c r="P4" s="3">
        <v>1</v>
      </c>
      <c r="Q4" s="11">
        <f>ROUNDUP(VLOOKUP(SinglePack12[[#This Row],[מוצר]],אריזות!A:C,2,0)/VLOOKUP(SinglePack12[[#This Row],[מוצר]],אריזות!A:C,3,0)*SinglePack12[[#This Row],[כמות]],2)</f>
        <v>0.2</v>
      </c>
    </row>
    <row r="5" spans="1:20" ht="24.95" customHeight="1" x14ac:dyDescent="0.3">
      <c r="A5" s="3" t="s">
        <v>51</v>
      </c>
      <c r="B5" s="3">
        <v>150</v>
      </c>
      <c r="C5" s="10" t="str">
        <f>VLOOKUP(Recipe10[[#This Row],[חומר גלם]],'חומרי גלם'!A:D,4,0)</f>
        <v>גרם</v>
      </c>
      <c r="D5" s="11">
        <f>ROUNDUP(Recipe10[[#This Row],[כמות במתכון]]*VLOOKUP(Recipe10[[#This Row],[חומר גלם]],'חומרי גלם'!A:D,2,0)/VLOOKUP(Recipe10[[#This Row],[חומר גלם]],'חומרי גלם'!A:D,3,0),2)</f>
        <v>2.2399999999999998</v>
      </c>
    </row>
    <row r="6" spans="1:20" ht="24.95" customHeight="1" x14ac:dyDescent="0.3">
      <c r="A6" s="3" t="s">
        <v>97</v>
      </c>
      <c r="B6" s="3">
        <v>1</v>
      </c>
      <c r="C6" s="10" t="str">
        <f>VLOOKUP(Recipe10[[#This Row],[חומר גלם]],'חומרי גלם'!A:D,4,0)</f>
        <v>יחידות</v>
      </c>
      <c r="D6" s="11">
        <f>ROUNDUP(Recipe10[[#This Row],[כמות במתכון]]*VLOOKUP(Recipe10[[#This Row],[חומר גלם]],'חומרי גלם'!A:D,2,0)/VLOOKUP(Recipe10[[#This Row],[חומר גלם]],'חומרי גלם'!A:D,3,0),2)</f>
        <v>1.08</v>
      </c>
    </row>
    <row r="7" spans="1:20" ht="24.95" customHeight="1" x14ac:dyDescent="0.3">
      <c r="A7" s="3" t="s">
        <v>52</v>
      </c>
      <c r="B7" s="3">
        <v>6</v>
      </c>
      <c r="C7" s="10" t="str">
        <f>VLOOKUP(Recipe10[[#This Row],[חומר גלם]],'חומרי גלם'!A:D,4,0)</f>
        <v>גרם</v>
      </c>
      <c r="D7" s="11">
        <f>ROUNDUP(Recipe10[[#This Row],[כמות במתכון]]*VLOOKUP(Recipe10[[#This Row],[חומר גלם]],'חומרי גלם'!A:D,2,0)/VLOOKUP(Recipe10[[#This Row],[חומר גלם]],'חומרי גלם'!A:D,3,0),2)</f>
        <v>0.01</v>
      </c>
    </row>
    <row r="8" spans="1:20" ht="24.95" customHeight="1" x14ac:dyDescent="0.3">
      <c r="A8" s="3" t="s">
        <v>43</v>
      </c>
      <c r="B8" s="3">
        <v>270</v>
      </c>
      <c r="C8" s="10" t="str">
        <f>VLOOKUP(Recipe10[[#This Row],[חומר גלם]],'חומרי גלם'!A:D,4,0)</f>
        <v>גרם</v>
      </c>
      <c r="D8" s="11">
        <f>ROUNDUP(Recipe10[[#This Row],[כמות במתכון]]*VLOOKUP(Recipe10[[#This Row],[חומר גלם]],'חומרי גלם'!A:D,2,0)/VLOOKUP(Recipe10[[#This Row],[חומר גלם]],'חומרי גלם'!A:D,3,0),2)</f>
        <v>2.3299999999999996</v>
      </c>
    </row>
    <row r="9" spans="1:20" ht="24.95" customHeight="1" x14ac:dyDescent="0.3">
      <c r="A9" s="3" t="s">
        <v>54</v>
      </c>
      <c r="B9" s="3">
        <v>30</v>
      </c>
      <c r="C9" s="10" t="str">
        <f>VLOOKUP(Recipe10[[#This Row],[חומר גלם]],'חומרי גלם'!A:D,4,0)</f>
        <v>גרם</v>
      </c>
      <c r="D9" s="11">
        <f>ROUNDUP(Recipe10[[#This Row],[כמות במתכון]]*VLOOKUP(Recipe10[[#This Row],[חומר גלם]],'חומרי גלם'!A:D,2,0)/VLOOKUP(Recipe10[[#This Row],[חומר גלם]],'חומרי גלם'!A:D,3,0),2)</f>
        <v>1.31</v>
      </c>
    </row>
    <row r="10" spans="1:20" ht="24.95" customHeight="1" x14ac:dyDescent="0.3">
      <c r="A10" s="3" t="s">
        <v>56</v>
      </c>
      <c r="B10" s="3">
        <v>3</v>
      </c>
      <c r="C10" s="10" t="str">
        <f>VLOOKUP(Recipe10[[#This Row],[חומר גלם]],'חומרי גלם'!A:D,4,0)</f>
        <v>גרם</v>
      </c>
      <c r="D10" s="11">
        <f>ROUNDUP(Recipe10[[#This Row],[כמות במתכון]]*VLOOKUP(Recipe10[[#This Row],[חומר גלם]],'חומרי גלם'!A:D,2,0)/VLOOKUP(Recipe10[[#This Row],[חומר גלם]],'חומרי גלם'!A:D,3,0),2)</f>
        <v>6.0000000000000005E-2</v>
      </c>
    </row>
    <row r="11" spans="1:20" ht="24.95" customHeight="1" x14ac:dyDescent="0.3">
      <c r="A11" s="3" t="s">
        <v>59</v>
      </c>
      <c r="B11" s="3">
        <v>3</v>
      </c>
      <c r="C11" s="10" t="str">
        <f>VLOOKUP(Recipe10[[#This Row],[חומר גלם]],'חומרי גלם'!A:D,4,0)</f>
        <v>גרם</v>
      </c>
      <c r="D11" s="11">
        <f>ROUNDUP(Recipe10[[#This Row],[כמות במתכון]]*VLOOKUP(Recipe10[[#This Row],[חומר גלם]],'חומרי גלם'!A:D,2,0)/VLOOKUP(Recipe10[[#This Row],[חומר גלם]],'חומרי גלם'!A:D,3,0),2)</f>
        <v>0.18000000000000002</v>
      </c>
    </row>
    <row r="12" spans="1:20" ht="24.95" customHeight="1" x14ac:dyDescent="0.3">
      <c r="A12" s="3" t="s">
        <v>119</v>
      </c>
      <c r="B12" s="3">
        <v>250</v>
      </c>
      <c r="C12" s="10" t="str">
        <f>VLOOKUP(Recipe10[[#This Row],[חומר גלם]],'חומרי גלם'!A:D,4,0)</f>
        <v>גרם</v>
      </c>
      <c r="D12" s="11">
        <f>ROUNDUP(Recipe10[[#This Row],[כמות במתכון]]*VLOOKUP(Recipe10[[#This Row],[חומר גלם]],'חומרי גלם'!A:D,2,0)/VLOOKUP(Recipe10[[#This Row],[חומר גלם]],'חומרי גלם'!A:D,3,0),2)</f>
        <v>9.379999999999999</v>
      </c>
    </row>
    <row r="13" spans="1:20" ht="24.95" customHeight="1" x14ac:dyDescent="0.3">
      <c r="A13" s="3" t="s">
        <v>63</v>
      </c>
      <c r="B13" s="3">
        <v>20</v>
      </c>
      <c r="C13" s="10" t="str">
        <f>VLOOKUP(Recipe10[[#This Row],[חומר גלם]],'חומרי גלם'!A:D,4,0)</f>
        <v>מיליליטר</v>
      </c>
      <c r="D13" s="11">
        <f>ROUNDUP(Recipe10[[#This Row],[כמות במתכון]]*VLOOKUP(Recipe10[[#This Row],[חומר גלם]],'חומרי גלם'!A:D,2,0)/VLOOKUP(Recipe10[[#This Row],[חומר גלם]],'חומרי גלם'!A:D,3,0),2)</f>
        <v>0.3</v>
      </c>
    </row>
    <row r="14" spans="1:20" ht="24.95" customHeight="1" x14ac:dyDescent="0.3">
      <c r="A14" s="3" t="s">
        <v>214</v>
      </c>
      <c r="B14" s="3">
        <v>1</v>
      </c>
      <c r="C14" s="10" t="str">
        <f>VLOOKUP(Recipe10[[#This Row],[חומר גלם]],'חומרי גלם'!A:D,4,0)</f>
        <v>יחידות</v>
      </c>
      <c r="D14" s="11">
        <f>ROUNDUP(Recipe10[[#This Row],[כמות במתכון]]*VLOOKUP(Recipe10[[#This Row],[חומר גלם]],'חומרי גלם'!A:D,2,0)/VLOOKUP(Recipe10[[#This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892AE84C-4E1A-4A82-82B6-669842D2F200}">
      <formula1>INDIRECT("Packages[מוצר]")</formula1>
    </dataValidation>
    <dataValidation type="list" allowBlank="1" showInputMessage="1" showErrorMessage="1" sqref="A3:A14" xr:uid="{4252CBF7-8AE4-42C6-9DEB-20EEFEECA6B4}">
      <formula1>INDIRECT("Ingredients[חומר גלם]")</formula1>
    </dataValidation>
  </dataValidations>
  <hyperlinks>
    <hyperlink ref="T1" location="ראשי!A1" display="חזרה לתפריט" xr:uid="{23EB6C95-B4B8-4AC4-9238-60CDAECE95E2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FFFBC-EFC6-431A-BE43-4AF7067C15BA}">
  <sheetPr>
    <tabColor theme="9"/>
  </sheetPr>
  <dimension ref="A1:T13"/>
  <sheetViews>
    <sheetView rightToLeft="1" workbookViewId="0">
      <selection activeCell="B14" sqref="B14"/>
    </sheetView>
  </sheetViews>
  <sheetFormatPr defaultColWidth="13.85546875" defaultRowHeight="24.95" customHeight="1" x14ac:dyDescent="0.3"/>
  <cols>
    <col min="1" max="1" width="20.42578125" style="3" bestFit="1" customWidth="1"/>
    <col min="2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ROUNDUP(SUM(Recipe13[עלות למתכון]),2)</f>
        <v>36.869999999999997</v>
      </c>
      <c r="F1" s="5" t="s">
        <v>9</v>
      </c>
      <c r="J1" s="5" t="s">
        <v>21</v>
      </c>
      <c r="O1" s="5" t="s">
        <v>20</v>
      </c>
      <c r="Q1" s="8">
        <f>SUM(SinglePack15[עלות])</f>
        <v>5.2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160</v>
      </c>
      <c r="C3" s="10" t="str">
        <f>VLOOKUP(Recipe13[[#This Row],[חומר גלם]],'חומרי גלם'!A:D,4,0)</f>
        <v>גרם</v>
      </c>
      <c r="D3" s="11">
        <f>ROUNDUP(Recipe13[[#This Row],[כמות במתכון]]*VLOOKUP(Recipe13[[#This Row],[חומר גלם]],'חומרי גלם'!A:D,2,0)/VLOOKUP(Recipe13[[#This Row],[חומר גלם]],'חומרי גלם'!A:D,3,0),2)</f>
        <v>7.2</v>
      </c>
      <c r="F3" s="3">
        <v>1.5</v>
      </c>
      <c r="G3" s="3">
        <v>100</v>
      </c>
      <c r="H3" s="10">
        <f>Work14[[#This Row],[עלות לשעת עבודה]]*Work14[[#This Row],[שעות עבודה]]</f>
        <v>150</v>
      </c>
      <c r="J3" s="25"/>
      <c r="K3" s="12" t="s">
        <v>14</v>
      </c>
      <c r="L3" s="13" t="s">
        <v>9</v>
      </c>
      <c r="M3" s="14" t="s">
        <v>15</v>
      </c>
      <c r="O3" s="3" t="s">
        <v>109</v>
      </c>
      <c r="P3" s="3">
        <v>1</v>
      </c>
      <c r="Q3" s="11">
        <f>ROUNDUP(VLOOKUP(SinglePack15[[#This Row],[מוצר]],אריזות!A:C,2,0)/VLOOKUP(SinglePack15[[#This Row],[מוצר]],אריזות!A:C,3,0)*SinglePack15[[#This Row],[כמות]],2)</f>
        <v>5</v>
      </c>
      <c r="S3" s="15">
        <f>Q1+M4</f>
        <v>11.43</v>
      </c>
    </row>
    <row r="4" spans="1:20" ht="24.95" customHeight="1" thickTop="1" x14ac:dyDescent="0.3">
      <c r="A4" s="3" t="s">
        <v>51</v>
      </c>
      <c r="B4" s="3">
        <v>120</v>
      </c>
      <c r="C4" s="10" t="str">
        <f>VLOOKUP(Recipe13[[#This Row],[חומר גלם]],'חומרי גלם'!A:D,4,0)</f>
        <v>גרם</v>
      </c>
      <c r="D4" s="11">
        <f>ROUNDUP(Recipe13[[#This Row],[כמות במתכון]]*VLOOKUP(Recipe13[[#This Row],[חומר גלם]],'חומרי גלם'!A:D,2,0)/VLOOKUP(Recipe13[[#This Row],[חומר גלם]],'חומרי גלם'!A:D,3,0),2)</f>
        <v>1.79</v>
      </c>
      <c r="J4" s="16">
        <v>30</v>
      </c>
      <c r="K4" s="17">
        <f>ROUNDUP(D1/J4,2)</f>
        <v>1.23</v>
      </c>
      <c r="L4" s="17" cm="1">
        <f t="array" ref="L4">ROUNDUP(Work14[עלות עבודה]/J4,2)</f>
        <v>5</v>
      </c>
      <c r="M4" s="8">
        <f>L4+K4</f>
        <v>6.23</v>
      </c>
      <c r="O4" s="3" t="s">
        <v>126</v>
      </c>
      <c r="P4" s="3">
        <v>1</v>
      </c>
      <c r="Q4" s="11">
        <f>ROUNDUP(VLOOKUP(SinglePack15[[#This Row],[מוצר]],אריזות!A:C,2,0)/VLOOKUP(SinglePack15[[#This Row],[מוצר]],אריזות!A:C,3,0)*SinglePack15[[#This Row],[כמות]],2)</f>
        <v>0.2</v>
      </c>
    </row>
    <row r="5" spans="1:20" ht="24.95" customHeight="1" x14ac:dyDescent="0.3">
      <c r="A5" s="3" t="s">
        <v>49</v>
      </c>
      <c r="B5" s="3">
        <v>100</v>
      </c>
      <c r="C5" s="10" t="str">
        <f>VLOOKUP(Recipe13[[#This Row],[חומר גלם]],'חומרי גלם'!A:D,4,0)</f>
        <v>גרם</v>
      </c>
      <c r="D5" s="11">
        <f>ROUNDUP(Recipe13[[#This Row],[כמות במתכון]]*VLOOKUP(Recipe13[[#This Row],[חומר גלם]],'חומרי גלם'!A:D,2,0)/VLOOKUP(Recipe13[[#This Row],[חומר גלם]],'חומרי גלם'!A:D,3,0),2)</f>
        <v>1.29</v>
      </c>
    </row>
    <row r="6" spans="1:20" ht="24.95" customHeight="1" x14ac:dyDescent="0.3">
      <c r="A6" s="3" t="s">
        <v>98</v>
      </c>
      <c r="B6" s="3">
        <v>1</v>
      </c>
      <c r="C6" s="10" t="str">
        <f>VLOOKUP(Recipe13[[#This Row],[חומר גלם]],'חומרי גלם'!A:D,4,0)</f>
        <v>יחידות</v>
      </c>
      <c r="D6" s="11">
        <f>ROUNDUP(Recipe13[[#This Row],[כמות במתכון]]*VLOOKUP(Recipe13[[#This Row],[חומר גלם]],'חומרי גלם'!A:D,2,0)/VLOOKUP(Recipe13[[#This Row],[חומר גלם]],'חומרי גלם'!A:D,3,0),2)</f>
        <v>1.17</v>
      </c>
    </row>
    <row r="7" spans="1:20" ht="24.95" customHeight="1" x14ac:dyDescent="0.3">
      <c r="A7" s="3" t="s">
        <v>43</v>
      </c>
      <c r="B7" s="3">
        <v>215</v>
      </c>
      <c r="C7" s="10" t="str">
        <f>VLOOKUP(Recipe13[[#This Row],[חומר גלם]],'חומרי גלם'!A:D,4,0)</f>
        <v>גרם</v>
      </c>
      <c r="D7" s="11">
        <f>ROUNDUP(Recipe13[[#This Row],[כמות במתכון]]*VLOOKUP(Recipe13[[#This Row],[חומר גלם]],'חומרי גלם'!A:D,2,0)/VLOOKUP(Recipe13[[#This Row],[חומר גלם]],'חומרי גלם'!A:D,3,0),2)</f>
        <v>1.85</v>
      </c>
    </row>
    <row r="8" spans="1:20" ht="24.95" customHeight="1" x14ac:dyDescent="0.3">
      <c r="A8" s="3" t="s">
        <v>59</v>
      </c>
      <c r="B8" s="3">
        <v>0.75</v>
      </c>
      <c r="C8" s="10" t="str">
        <f>VLOOKUP(Recipe13[[#This Row],[חומר גלם]],'חומרי גלם'!A:D,4,0)</f>
        <v>גרם</v>
      </c>
      <c r="D8" s="11">
        <f>ROUNDUP(Recipe13[[#This Row],[כמות במתכון]]*VLOOKUP(Recipe13[[#This Row],[חומר גלם]],'חומרי גלם'!A:D,2,0)/VLOOKUP(Recipe13[[#This Row],[חומר גלם]],'חומרי גלם'!A:D,3,0),2)</f>
        <v>0.05</v>
      </c>
    </row>
    <row r="9" spans="1:20" ht="24.95" customHeight="1" x14ac:dyDescent="0.3">
      <c r="A9" s="3" t="s">
        <v>117</v>
      </c>
      <c r="B9" s="3">
        <v>100</v>
      </c>
      <c r="C9" s="10" t="str">
        <f>VLOOKUP(Recipe13[[#This Row],[חומר גלם]],'חומרי גלם'!A:D,4,0)</f>
        <v>גרם</v>
      </c>
      <c r="D9" s="11">
        <f>ROUNDUP(Recipe13[[#This Row],[כמות במתכון]]*VLOOKUP(Recipe13[[#This Row],[חומר גלם]],'חומרי גלם'!A:D,2,0)/VLOOKUP(Recipe13[[#This Row],[חומר גלם]],'חומרי גלם'!A:D,3,0),2)</f>
        <v>3.25</v>
      </c>
    </row>
    <row r="10" spans="1:20" ht="24.95" customHeight="1" x14ac:dyDescent="0.3">
      <c r="A10" s="3" t="s">
        <v>118</v>
      </c>
      <c r="B10" s="3">
        <v>70</v>
      </c>
      <c r="C10" s="10" t="str">
        <f>VLOOKUP(Recipe13[[#This Row],[חומר גלם]],'חומרי גלם'!A:D,4,0)</f>
        <v>גרם</v>
      </c>
      <c r="D10" s="11">
        <f>ROUNDUP(Recipe13[[#This Row],[כמות במתכון]]*VLOOKUP(Recipe13[[#This Row],[חומר גלם]],'חומרי גלם'!A:D,2,0)/VLOOKUP(Recipe13[[#This Row],[חומר גלם]],'חומרי גלם'!A:D,3,0),2)</f>
        <v>2.63</v>
      </c>
    </row>
    <row r="11" spans="1:20" ht="24.95" customHeight="1" x14ac:dyDescent="0.3">
      <c r="A11" s="3" t="s">
        <v>119</v>
      </c>
      <c r="B11" s="3">
        <v>70</v>
      </c>
      <c r="C11" s="10" t="str">
        <f>VLOOKUP(Recipe13[[#This Row],[חומר גלם]],'חומרי גלם'!A:D,4,0)</f>
        <v>גרם</v>
      </c>
      <c r="D11" s="11">
        <f>ROUNDUP(Recipe13[[#This Row],[כמות במתכון]]*VLOOKUP(Recipe13[[#This Row],[חומר גלם]],'חומרי גלם'!A:D,2,0)/VLOOKUP(Recipe13[[#This Row],[חומר גלם]],'חומרי גלם'!A:D,3,0),2)</f>
        <v>2.63</v>
      </c>
    </row>
    <row r="12" spans="1:20" ht="24.95" customHeight="1" x14ac:dyDescent="0.3">
      <c r="A12" s="3" t="s">
        <v>53</v>
      </c>
      <c r="B12" s="3">
        <v>0.5</v>
      </c>
      <c r="C12" s="10" t="str">
        <f>VLOOKUP(Recipe13[[#This Row],[חומר גלם]],'חומרי גלם'!A:D,4,0)</f>
        <v>גרם</v>
      </c>
      <c r="D12" s="11">
        <f>ROUNDUP(Recipe13[[#This Row],[כמות במתכון]]*VLOOKUP(Recipe13[[#This Row],[חומר גלם]],'חומרי גלם'!A:D,2,0)/VLOOKUP(Recipe13[[#This Row],[חומר גלם]],'חומרי גלם'!A:D,3,0),2)</f>
        <v>0.01</v>
      </c>
    </row>
    <row r="13" spans="1:20" ht="24.95" customHeight="1" x14ac:dyDescent="0.3">
      <c r="A13" s="3" t="s">
        <v>214</v>
      </c>
      <c r="B13" s="3">
        <v>1</v>
      </c>
      <c r="C13" s="10" t="str">
        <f>VLOOKUP(Recipe13[[#This Row],[חומר גלם]],'חומרי גלם'!A:D,4,0)</f>
        <v>יחידות</v>
      </c>
      <c r="D13" s="11">
        <f>ROUNDUP(Recipe13[[#This Row],[כמות במתכון]]*VLOOKUP(Recipe13[[#This Row],[חומר גלם]],'חומרי גלם'!A:D,2,0)/VLOOKUP(Recipe13[[#This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867B99FE-E3B5-47BB-BE68-039A123D2ED0}">
      <formula1>INDIRECT("Packages[מוצר]")</formula1>
    </dataValidation>
    <dataValidation type="list" allowBlank="1" showInputMessage="1" showErrorMessage="1" sqref="A3:A13" xr:uid="{7C235A51-CB26-4636-98F7-5C48F7116675}">
      <formula1>INDIRECT("Ingredients[חומר גלם]")</formula1>
    </dataValidation>
  </dataValidations>
  <hyperlinks>
    <hyperlink ref="T1" location="ראשי!A1" display="חזרה לתפריט" xr:uid="{FE8ED8E0-D6E0-4C51-A642-8B6951BC8EA3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E8F7C-CC3F-40D4-BD38-235F27B6D526}">
  <sheetPr>
    <tabColor theme="9"/>
  </sheetPr>
  <dimension ref="A1:T12"/>
  <sheetViews>
    <sheetView rightToLeft="1" workbookViewId="0">
      <selection activeCell="C12" sqref="C12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ROUNDUP(SUM(Recipe1016[עלות למתכון]),2)</f>
        <v>80.97</v>
      </c>
      <c r="F1" s="5" t="s">
        <v>9</v>
      </c>
      <c r="J1" s="5" t="s">
        <v>21</v>
      </c>
      <c r="O1" s="5" t="s">
        <v>20</v>
      </c>
      <c r="Q1" s="8">
        <f>SUM(SinglePack1218[עלות])</f>
        <v>4.7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118</v>
      </c>
      <c r="B3" s="3">
        <v>350</v>
      </c>
      <c r="C3" s="10" t="str">
        <f>VLOOKUP(Recipe1016[[#This Row],[חומר גלם]],'חומרי גלם'!A:D,4,0)</f>
        <v>גרם</v>
      </c>
      <c r="D3" s="11">
        <f>ROUNDUP(Recipe1016[[#This Row],[כמות במתכון]]*VLOOKUP(Recipe1016[[#This Row],[חומר גלם]],'חומרי גלם'!A:D,2,0)/VLOOKUP(Recipe1016[[#This Row],[חומר גלם]],'חומרי גלם'!A:D,3,0),2)</f>
        <v>13.129999999999999</v>
      </c>
      <c r="F3" s="3">
        <v>1.5</v>
      </c>
      <c r="G3" s="3">
        <v>110</v>
      </c>
      <c r="H3" s="10">
        <f>Work1117[[#This Row],[עלות לשעת עבודה]]*Work1117[[#This Row],[שעות עבודה]]</f>
        <v>165</v>
      </c>
      <c r="J3" s="25"/>
      <c r="K3" s="12" t="s">
        <v>14</v>
      </c>
      <c r="L3" s="13" t="s">
        <v>9</v>
      </c>
      <c r="M3" s="14" t="s">
        <v>15</v>
      </c>
      <c r="O3" s="3" t="s">
        <v>80</v>
      </c>
      <c r="P3" s="3">
        <v>1</v>
      </c>
      <c r="Q3" s="11">
        <f>ROUNDUP(VLOOKUP(SinglePack1218[[#This Row],[מוצר]],אריזות!A:C,2,0)/VLOOKUP(SinglePack1218[[#This Row],[מוצר]],אריזות!A:C,3,0)*SinglePack1218[[#This Row],[כמות]],2)</f>
        <v>4.5</v>
      </c>
      <c r="S3" s="15">
        <f>Q1+M4</f>
        <v>127.69</v>
      </c>
    </row>
    <row r="4" spans="1:20" ht="24.95" customHeight="1" thickTop="1" x14ac:dyDescent="0.3">
      <c r="A4" s="3" t="s">
        <v>117</v>
      </c>
      <c r="B4" s="3">
        <v>50</v>
      </c>
      <c r="C4" s="10" t="str">
        <f>VLOOKUP(Recipe1016[[#This Row],[חומר גלם]],'חומרי גלם'!A:D,4,0)</f>
        <v>גרם</v>
      </c>
      <c r="D4" s="11">
        <f>ROUNDUP(Recipe1016[[#This Row],[כמות במתכון]]*VLOOKUP(Recipe1016[[#This Row],[חומר גלם]],'חומרי גלם'!A:D,2,0)/VLOOKUP(Recipe1016[[#This Row],[חומר גלם]],'חומרי גלם'!A:D,3,0),2)</f>
        <v>1.6300000000000001</v>
      </c>
      <c r="J4" s="16">
        <v>2</v>
      </c>
      <c r="K4" s="17">
        <f>ROUNDUP(D1/J4,2)</f>
        <v>40.489999999999995</v>
      </c>
      <c r="L4" s="17" cm="1">
        <f t="array" ref="L4">ROUNDUP(Work1117[עלות עבודה]/J4,2)</f>
        <v>82.5</v>
      </c>
      <c r="M4" s="8">
        <f>L4+K4</f>
        <v>122.99</v>
      </c>
      <c r="O4" s="3" t="s">
        <v>126</v>
      </c>
      <c r="P4" s="3">
        <v>1</v>
      </c>
      <c r="Q4" s="11">
        <f>ROUNDUP(VLOOKUP(SinglePack1218[[#This Row],[מוצר]],אריזות!A:C,2,0)/VLOOKUP(SinglePack1218[[#This Row],[מוצר]],אריזות!A:C,3,0)*SinglePack1218[[#This Row],[כמות]],2)</f>
        <v>0.2</v>
      </c>
    </row>
    <row r="5" spans="1:20" ht="24.95" customHeight="1" x14ac:dyDescent="0.3">
      <c r="A5" s="3" t="s">
        <v>73</v>
      </c>
      <c r="B5" s="3">
        <v>100</v>
      </c>
      <c r="C5" s="10" t="str">
        <f>VLOOKUP(Recipe1016[[#This Row],[חומר גלם]],'חומרי גלם'!A:D,4,0)</f>
        <v>גרם</v>
      </c>
      <c r="D5" s="11">
        <f>ROUNDUP(Recipe1016[[#This Row],[כמות במתכון]]*VLOOKUP(Recipe1016[[#This Row],[חומר גלם]],'חומרי גלם'!A:D,2,0)/VLOOKUP(Recipe1016[[#This Row],[חומר גלם]],'חומרי גלם'!A:D,3,0),2)</f>
        <v>4.5</v>
      </c>
    </row>
    <row r="6" spans="1:20" ht="24.95" customHeight="1" x14ac:dyDescent="0.3">
      <c r="A6" s="3" t="s">
        <v>145</v>
      </c>
      <c r="B6" s="3">
        <v>200</v>
      </c>
      <c r="C6" s="10" t="str">
        <f>VLOOKUP(Recipe1016[[#This Row],[חומר גלם]],'חומרי גלם'!A:D,4,0)</f>
        <v>גרם</v>
      </c>
      <c r="D6" s="11">
        <f>ROUNDUP(Recipe1016[[#This Row],[כמות במתכון]]*VLOOKUP(Recipe1016[[#This Row],[חומר גלם]],'חומרי גלם'!A:D,2,0)/VLOOKUP(Recipe1016[[#This Row],[חומר גלם]],'חומרי גלם'!A:D,3,0),2)</f>
        <v>12</v>
      </c>
    </row>
    <row r="7" spans="1:20" ht="24.95" customHeight="1" x14ac:dyDescent="0.3">
      <c r="A7" s="3" t="s">
        <v>52</v>
      </c>
      <c r="B7" s="3">
        <v>1.5</v>
      </c>
      <c r="C7" s="10" t="str">
        <f>VLOOKUP(Recipe1016[[#This Row],[חומר גלם]],'חומרי גלם'!A:D,4,0)</f>
        <v>גרם</v>
      </c>
      <c r="D7" s="11">
        <f>ROUNDUP(Recipe1016[[#This Row],[כמות במתכון]]*VLOOKUP(Recipe1016[[#This Row],[חומר גלם]],'חומרי גלם'!A:D,2,0)/VLOOKUP(Recipe1016[[#This Row],[חומר גלם]],'חומרי גלם'!A:D,3,0),2)</f>
        <v>0.01</v>
      </c>
    </row>
    <row r="8" spans="1:20" ht="24.95" customHeight="1" x14ac:dyDescent="0.3">
      <c r="A8" s="3" t="s">
        <v>146</v>
      </c>
      <c r="B8" s="3">
        <v>140</v>
      </c>
      <c r="C8" s="10" t="str">
        <f>VLOOKUP(Recipe1016[[#This Row],[חומר גלם]],'חומרי גלם'!A:D,4,0)</f>
        <v>גרם</v>
      </c>
      <c r="D8" s="11">
        <f>ROUNDUP(Recipe1016[[#This Row],[כמות במתכון]]*VLOOKUP(Recipe1016[[#This Row],[חומר גלם]],'חומרי גלם'!A:D,2,0)/VLOOKUP(Recipe1016[[#This Row],[חומר גלם]],'חומרי גלם'!A:D,3,0),2)</f>
        <v>3.22</v>
      </c>
    </row>
    <row r="9" spans="1:20" ht="24.95" customHeight="1" x14ac:dyDescent="0.3">
      <c r="A9" s="3" t="s">
        <v>149</v>
      </c>
      <c r="B9" s="3">
        <v>50</v>
      </c>
      <c r="C9" s="10" t="str">
        <f>VLOOKUP(Recipe1016[[#This Row],[חומר גלם]],'חומרי גלם'!A:D,4,0)</f>
        <v>גרם</v>
      </c>
      <c r="D9" s="11">
        <f>ROUNDUP(Recipe1016[[#This Row],[כמות במתכון]]*VLOOKUP(Recipe1016[[#This Row],[חומר גלם]],'חומרי גלם'!A:D,2,0)/VLOOKUP(Recipe1016[[#This Row],[חומר גלם]],'חומרי גלם'!A:D,3,0),2)</f>
        <v>3.75</v>
      </c>
    </row>
    <row r="10" spans="1:20" ht="24.95" customHeight="1" x14ac:dyDescent="0.3">
      <c r="A10" s="3" t="s">
        <v>35</v>
      </c>
      <c r="B10" s="3">
        <v>100</v>
      </c>
      <c r="C10" s="10" t="str">
        <f>VLOOKUP(Recipe1016[[#This Row],[חומר גלם]],'חומרי גלם'!A:D,4,0)</f>
        <v>גרם</v>
      </c>
      <c r="D10" s="11">
        <f>ROUNDUP(Recipe1016[[#This Row],[כמות במתכון]]*VLOOKUP(Recipe1016[[#This Row],[חומר גלם]],'חומרי גלם'!A:D,2,0)/VLOOKUP(Recipe1016[[#This Row],[חומר גלם]],'חומרי גלם'!A:D,3,0),2)</f>
        <v>2.8299999999999996</v>
      </c>
    </row>
    <row r="11" spans="1:20" ht="24.95" customHeight="1" x14ac:dyDescent="0.3">
      <c r="A11" s="3" t="s">
        <v>37</v>
      </c>
      <c r="B11" s="3">
        <v>16</v>
      </c>
      <c r="C11" s="10" t="str">
        <f>VLOOKUP(Recipe1016[[#This Row],[חומר גלם]],'חומרי גלם'!A:D,4,0)</f>
        <v>יחידות</v>
      </c>
      <c r="D11" s="11">
        <f>ROUNDUP(Recipe1016[[#This Row],[כמות במתכון]]*VLOOKUP(Recipe1016[[#This Row],[חומר גלם]],'חומרי גלם'!A:D,2,0)/VLOOKUP(Recipe1016[[#This Row],[חומר גלם]],'חומרי גלם'!A:D,3,0),2)</f>
        <v>24.9</v>
      </c>
    </row>
    <row r="12" spans="1:20" ht="24.95" customHeight="1" x14ac:dyDescent="0.3">
      <c r="A12" s="3" t="s">
        <v>214</v>
      </c>
      <c r="B12" s="3">
        <v>1</v>
      </c>
      <c r="C12" s="10" t="str">
        <f>VLOOKUP(Recipe1016[[#This Row],[חומר גלם]],'חומרי גלם'!A:D,4,0)</f>
        <v>יחידות</v>
      </c>
      <c r="D12" s="11">
        <f>ROUNDUP(Recipe1016[[#This Row],[כמות במתכון]]*VLOOKUP(Recipe1016[[#This Row],[חומר גלם]],'חומרי גלם'!A:D,2,0)/VLOOKUP(Recipe1016[[#This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2" xr:uid="{F4DC5677-004F-4FC4-B069-6D21F9CBF1E4}">
      <formula1>INDIRECT("Ingredients[חומר גלם]")</formula1>
    </dataValidation>
    <dataValidation type="list" allowBlank="1" showInputMessage="1" showErrorMessage="1" sqref="O3:O4" xr:uid="{EE632FB7-03D5-4309-9F36-98889768DD72}">
      <formula1>INDIRECT("Packages[מוצר]")</formula1>
    </dataValidation>
  </dataValidations>
  <hyperlinks>
    <hyperlink ref="T1" location="ראשי!A1" display="חזרה לתפריט" xr:uid="{2807B4F2-703B-4FF3-9BAD-E7027DDA6858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B145-7A29-4467-8054-918ED989B6E6}">
  <sheetPr>
    <tabColor theme="9"/>
  </sheetPr>
  <dimension ref="A1:T15"/>
  <sheetViews>
    <sheetView rightToLeft="1" workbookViewId="0">
      <selection activeCell="C16" sqref="C16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ROUNDUP(SUM(Recipe101619[עלות למתכון]),2)</f>
        <v>43.27</v>
      </c>
      <c r="F1" s="5" t="s">
        <v>9</v>
      </c>
      <c r="J1" s="5" t="s">
        <v>21</v>
      </c>
      <c r="O1" s="5" t="s">
        <v>20</v>
      </c>
      <c r="Q1" s="8">
        <f>SUM(SinglePack121821[עלות])</f>
        <v>2.5999999999999996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210</v>
      </c>
      <c r="C3" s="10" t="str">
        <f>VLOOKUP(Recipe101619[[#This Row],[חומר גלם]],'חומרי גלם'!A:D,4,0)</f>
        <v>גרם</v>
      </c>
      <c r="D3" s="11">
        <f>ROUNDUP(Recipe101619[[#This Row],[כמות במתכון]]*VLOOKUP(Recipe101619[[#This Row],[חומר גלם]],'חומרי גלם'!A:D,2,0)/VLOOKUP(Recipe101619[[#This Row],[חומר גלם]],'חומרי גלם'!A:D,3,0),2)</f>
        <v>1.81</v>
      </c>
      <c r="F3" s="3">
        <v>1</v>
      </c>
      <c r="G3" s="3">
        <v>100</v>
      </c>
      <c r="H3" s="10">
        <f>Work111720[[#This Row],[עלות לשעת עבודה]]*Work111720[[#This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87</v>
      </c>
      <c r="P3" s="3">
        <v>1</v>
      </c>
      <c r="Q3" s="11">
        <f>ROUNDUP(VLOOKUP(SinglePack121821[[#This Row],[מוצר]],אריזות!A:C,2,0)/VLOOKUP(SinglePack121821[[#This Row],[מוצר]],אריזות!A:C,3,0)*SinglePack121821[[#This Row],[כמות]],2)</f>
        <v>2.2999999999999998</v>
      </c>
      <c r="S3" s="15">
        <f>Q1+M4</f>
        <v>74.239999999999995</v>
      </c>
    </row>
    <row r="4" spans="1:20" ht="24.95" customHeight="1" thickTop="1" x14ac:dyDescent="0.3">
      <c r="A4" s="3" t="s">
        <v>152</v>
      </c>
      <c r="B4" s="3">
        <v>30</v>
      </c>
      <c r="C4" s="10" t="str">
        <f>VLOOKUP(Recipe101619[[#This Row],[חומר גלם]],'חומרי גלם'!A:D,4,0)</f>
        <v>גרם</v>
      </c>
      <c r="D4" s="11">
        <f>ROUNDUP(Recipe101619[[#This Row],[כמות במתכון]]*VLOOKUP(Recipe101619[[#This Row],[חומר גלם]],'חומרי גלם'!A:D,2,0)/VLOOKUP(Recipe101619[[#This Row],[חומר גלם]],'חומרי גלם'!A:D,3,0),2)</f>
        <v>0.42</v>
      </c>
      <c r="J4" s="16">
        <v>2</v>
      </c>
      <c r="K4" s="17">
        <f>ROUNDUP(D1/J4,2)</f>
        <v>21.64</v>
      </c>
      <c r="L4" s="17" cm="1">
        <f t="array" ref="L4">ROUNDUP(Work111720[עלות עבודה]/J4,2)</f>
        <v>50</v>
      </c>
      <c r="M4" s="8">
        <f>L4+K4</f>
        <v>71.64</v>
      </c>
      <c r="O4" s="3" t="s">
        <v>125</v>
      </c>
      <c r="P4" s="3">
        <v>1</v>
      </c>
      <c r="Q4" s="11">
        <f>ROUNDUP(VLOOKUP(SinglePack121821[[#This Row],[מוצר]],אריזות!A:C,2,0)/VLOOKUP(SinglePack121821[[#This Row],[מוצר]],אריזות!A:C,3,0)*SinglePack121821[[#This Row],[כמות]],2)</f>
        <v>0.3</v>
      </c>
    </row>
    <row r="5" spans="1:20" ht="24.95" customHeight="1" x14ac:dyDescent="0.3">
      <c r="A5" s="3" t="s">
        <v>58</v>
      </c>
      <c r="B5" s="3">
        <v>50</v>
      </c>
      <c r="C5" s="10" t="str">
        <f>VLOOKUP(Recipe101619[[#This Row],[חומר גלם]],'חומרי גלם'!A:D,4,0)</f>
        <v>גרם</v>
      </c>
      <c r="D5" s="11">
        <f>ROUNDUP(Recipe101619[[#This Row],[כמות במתכון]]*VLOOKUP(Recipe101619[[#This Row],[חומר גלם]],'חומרי גלם'!A:D,2,0)/VLOOKUP(Recipe101619[[#This Row],[חומר גלם]],'חומרי גלם'!A:D,3,0),2)</f>
        <v>0.5</v>
      </c>
    </row>
    <row r="6" spans="1:20" ht="24.95" customHeight="1" x14ac:dyDescent="0.3">
      <c r="A6" s="3" t="s">
        <v>56</v>
      </c>
      <c r="B6" s="3">
        <v>5</v>
      </c>
      <c r="C6" s="10" t="str">
        <f>VLOOKUP(Recipe101619[[#This Row],[חומר גלם]],'חומרי גלם'!A:D,4,0)</f>
        <v>גרם</v>
      </c>
      <c r="D6" s="11">
        <f>ROUNDUP(Recipe101619[[#This Row],[כמות במתכון]]*VLOOKUP(Recipe101619[[#This Row],[חומר גלם]],'חומרי גלם'!A:D,2,0)/VLOOKUP(Recipe101619[[#This Row],[חומר גלם]],'חומרי גלם'!A:D,3,0),2)</f>
        <v>9.9999999999999992E-2</v>
      </c>
    </row>
    <row r="7" spans="1:20" ht="24.95" customHeight="1" x14ac:dyDescent="0.3">
      <c r="A7" s="3" t="s">
        <v>153</v>
      </c>
      <c r="B7" s="3">
        <v>70</v>
      </c>
      <c r="C7" s="10" t="str">
        <f>VLOOKUP(Recipe101619[[#This Row],[חומר גלם]],'חומרי גלם'!A:D,4,0)</f>
        <v>גרם</v>
      </c>
      <c r="D7" s="11">
        <f>ROUNDUP(Recipe101619[[#This Row],[כמות במתכון]]*VLOOKUP(Recipe101619[[#This Row],[חומר גלם]],'חומרי גלם'!A:D,2,0)/VLOOKUP(Recipe101619[[#This Row],[חומר גלם]],'חומרי גלם'!A:D,3,0),2)</f>
        <v>2.8</v>
      </c>
    </row>
    <row r="8" spans="1:20" ht="24.95" customHeight="1" x14ac:dyDescent="0.3">
      <c r="A8" s="3" t="s">
        <v>52</v>
      </c>
      <c r="B8" s="3">
        <v>0.5</v>
      </c>
      <c r="C8" s="10" t="str">
        <f>VLOOKUP(Recipe101619[[#This Row],[חומר גלם]],'חומרי גלם'!A:D,4,0)</f>
        <v>גרם</v>
      </c>
      <c r="D8" s="11">
        <f>ROUNDUP(Recipe101619[[#This Row],[כמות במתכון]]*VLOOKUP(Recipe101619[[#This Row],[חומר גלם]],'חומרי גלם'!A:D,2,0)/VLOOKUP(Recipe101619[[#This Row],[חומר גלם]],'חומרי גלם'!A:D,3,0),2)</f>
        <v>0.01</v>
      </c>
    </row>
    <row r="9" spans="1:20" ht="24.95" customHeight="1" x14ac:dyDescent="0.3">
      <c r="A9" s="3" t="s">
        <v>73</v>
      </c>
      <c r="B9" s="3">
        <v>140</v>
      </c>
      <c r="C9" s="10" t="str">
        <f>VLOOKUP(Recipe101619[[#This Row],[חומר גלם]],'חומרי גלם'!A:D,4,0)</f>
        <v>גרם</v>
      </c>
      <c r="D9" s="11">
        <f>ROUNDUP(Recipe101619[[#This Row],[כמות במתכון]]*VLOOKUP(Recipe101619[[#This Row],[חומר גלם]],'חומרי גלם'!A:D,2,0)/VLOOKUP(Recipe101619[[#This Row],[חומר גלם]],'חומרי גלם'!A:D,3,0),2)</f>
        <v>6.3</v>
      </c>
    </row>
    <row r="10" spans="1:20" ht="24.95" customHeight="1" x14ac:dyDescent="0.3">
      <c r="A10" s="3" t="s">
        <v>97</v>
      </c>
      <c r="B10" s="3">
        <v>0.5</v>
      </c>
      <c r="C10" s="10" t="str">
        <f>VLOOKUP(Recipe101619[[#This Row],[חומר גלם]],'חומרי גלם'!A:D,4,0)</f>
        <v>יחידות</v>
      </c>
      <c r="D10" s="11">
        <f>ROUNDUP(Recipe101619[[#This Row],[כמות במתכון]]*VLOOKUP(Recipe101619[[#This Row],[חומר גלם]],'חומרי גלם'!A:D,2,0)/VLOOKUP(Recipe101619[[#This Row],[חומר גלם]],'חומרי גלם'!A:D,3,0),2)</f>
        <v>0.54</v>
      </c>
    </row>
    <row r="11" spans="1:20" ht="24.95" customHeight="1" x14ac:dyDescent="0.3">
      <c r="A11" s="3" t="s">
        <v>66</v>
      </c>
      <c r="B11" s="3">
        <v>55</v>
      </c>
      <c r="C11" s="10" t="str">
        <f>VLOOKUP(Recipe101619[[#This Row],[חומר גלם]],'חומרי גלם'!A:D,4,0)</f>
        <v>מיליליטר</v>
      </c>
      <c r="D11" s="11">
        <f>ROUNDUP(Recipe101619[[#This Row],[כמות במתכון]]*VLOOKUP(Recipe101619[[#This Row],[חומר גלם]],'חומרי גלם'!A:D,2,0)/VLOOKUP(Recipe101619[[#This Row],[חומר גלם]],'חומרי גלם'!A:D,3,0),2)</f>
        <v>0.38</v>
      </c>
    </row>
    <row r="12" spans="1:20" ht="24.95" customHeight="1" x14ac:dyDescent="0.3">
      <c r="A12" s="3" t="s">
        <v>118</v>
      </c>
      <c r="B12" s="3">
        <v>300</v>
      </c>
      <c r="C12" s="10" t="str">
        <f>VLOOKUP(Recipe101619[[#This Row],[חומר גלם]],'חומרי גלם'!A:D,4,0)</f>
        <v>גרם</v>
      </c>
      <c r="D12" s="11">
        <f>ROUNDUP(Recipe101619[[#This Row],[כמות במתכון]]*VLOOKUP(Recipe101619[[#This Row],[חומר גלם]],'חומרי גלם'!A:D,2,0)/VLOOKUP(Recipe101619[[#This Row],[חומר גלם]],'חומרי גלם'!A:D,3,0),2)</f>
        <v>11.25</v>
      </c>
    </row>
    <row r="13" spans="1:20" ht="24.95" customHeight="1" x14ac:dyDescent="0.3">
      <c r="A13" s="3" t="s">
        <v>155</v>
      </c>
      <c r="B13" s="3">
        <v>80</v>
      </c>
      <c r="C13" s="10" t="str">
        <f>VLOOKUP(Recipe101619[[#This Row],[חומר גלם]],'חומרי גלם'!A:D,4,0)</f>
        <v>גרם</v>
      </c>
      <c r="D13" s="11">
        <f>ROUNDUP(Recipe101619[[#This Row],[כמות במתכון]]*VLOOKUP(Recipe101619[[#This Row],[חומר גלם]],'חומרי גלם'!A:D,2,0)/VLOOKUP(Recipe101619[[#This Row],[חומר גלם]],'חומרי גלם'!A:D,3,0),2)</f>
        <v>3.2</v>
      </c>
    </row>
    <row r="14" spans="1:20" ht="24.95" customHeight="1" x14ac:dyDescent="0.3">
      <c r="A14" s="3" t="s">
        <v>156</v>
      </c>
      <c r="B14" s="3">
        <v>40</v>
      </c>
      <c r="C14" s="10" t="str">
        <f>VLOOKUP(Recipe101619[[#This Row],[חומר גלם]],'חומרי גלם'!A:D,4,0)</f>
        <v>גרם</v>
      </c>
      <c r="D14" s="11">
        <f>ROUNDUP(Recipe101619[[#This Row],[כמות במתכון]]*VLOOKUP(Recipe101619[[#This Row],[חומר גלם]],'חומרי גלם'!A:D,2,0)/VLOOKUP(Recipe101619[[#This Row],[חומר גלם]],'חומרי גלם'!A:D,3,0),2)</f>
        <v>0.96</v>
      </c>
    </row>
    <row r="15" spans="1:20" ht="24.95" customHeight="1" x14ac:dyDescent="0.3">
      <c r="A15" s="3" t="s">
        <v>214</v>
      </c>
      <c r="B15" s="3">
        <v>1</v>
      </c>
      <c r="C15" s="10" t="str">
        <f>VLOOKUP(Recipe101619[[#This Row],[חומר גלם]],'חומרי גלם'!A:D,4,0)</f>
        <v>יחידות</v>
      </c>
      <c r="D15" s="11">
        <f>ROUNDUP(Recipe101619[[#This Row],[כמות במתכון]]*VLOOKUP(Recipe101619[[#This Row],[חומר גלם]],'חומרי גלם'!A:D,2,0)/VLOOKUP(Recipe101619[[#This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20CDC305-3B30-4709-970B-AD311E0FCE03}">
      <formula1>INDIRECT("Packages[מוצר]")</formula1>
    </dataValidation>
    <dataValidation type="list" allowBlank="1" showInputMessage="1" showErrorMessage="1" sqref="A3:A15" xr:uid="{05FF3655-27C1-4882-BFE2-21EF26373261}">
      <formula1>INDIRECT("Ingredients[חומר גלם]")</formula1>
    </dataValidation>
  </dataValidations>
  <hyperlinks>
    <hyperlink ref="T1" location="ראשי!A1" display="חזרה לתפריט" xr:uid="{B1EA56B4-0A96-4B76-B068-FB3EACD396A3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D6E13-54B6-4EBB-B899-3F9D38A7AA15}">
  <sheetPr>
    <tabColor theme="9"/>
  </sheetPr>
  <dimension ref="A1:T8"/>
  <sheetViews>
    <sheetView rightToLeft="1" workbookViewId="0">
      <selection activeCell="B9" sqref="B9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ROUNDUP(SUM(Recipe10161922[עלות למתכון]),2)</f>
        <v>31.03</v>
      </c>
      <c r="F1" s="5" t="s">
        <v>9</v>
      </c>
      <c r="J1" s="5" t="s">
        <v>21</v>
      </c>
      <c r="O1" s="5" t="s">
        <v>20</v>
      </c>
      <c r="Q1" s="8">
        <f>SUM(SinglePack12182124[עלות])</f>
        <v>3.55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156</v>
      </c>
      <c r="B3" s="3">
        <v>125</v>
      </c>
      <c r="C3" s="10" t="str">
        <f>VLOOKUP(Recipe10161922[[#This Row],[חומר גלם]],'חומרי גלם'!A:D,4,0)</f>
        <v>גרם</v>
      </c>
      <c r="D3" s="11">
        <f>ROUNDUP(Recipe10161922[[#This Row],[כמות במתכון]]*VLOOKUP(Recipe10161922[[#This Row],[חומר גלם]],'חומרי גלם'!A:D,2,0)/VLOOKUP(Recipe10161922[[#This Row],[חומר גלם]],'חומרי גלם'!A:D,3,0),2)</f>
        <v>3</v>
      </c>
      <c r="F3" s="3">
        <v>1</v>
      </c>
      <c r="G3" s="3">
        <v>100</v>
      </c>
      <c r="H3" s="10">
        <f>Work11172023[[#This Row],[עלות לשעת עבודה]]*Work11172023[[#This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105</v>
      </c>
      <c r="P3" s="3">
        <v>1</v>
      </c>
      <c r="Q3" s="11">
        <f>ROUNDUP(VLOOKUP(SinglePack12182124[[#This Row],[מוצר]],אריזות!A:C,2,0)/VLOOKUP(SinglePack12182124[[#This Row],[מוצר]],אריזות!A:C,3,0)*SinglePack12182124[[#This Row],[כמות]],2)</f>
        <v>3.25</v>
      </c>
      <c r="S3" s="15">
        <f>Q1+M4</f>
        <v>5.99</v>
      </c>
    </row>
    <row r="4" spans="1:20" ht="24.95" customHeight="1" thickTop="1" x14ac:dyDescent="0.3">
      <c r="A4" s="3" t="s">
        <v>44</v>
      </c>
      <c r="B4" s="3">
        <v>35</v>
      </c>
      <c r="C4" s="10" t="str">
        <f>VLOOKUP(Recipe10161922[[#This Row],[חומר גלם]],'חומרי גלם'!A:D,4,0)</f>
        <v>גרם</v>
      </c>
      <c r="D4" s="11">
        <f>ROUNDUP(Recipe10161922[[#This Row],[כמות במתכון]]*VLOOKUP(Recipe10161922[[#This Row],[חומר גלם]],'חומרי גלם'!A:D,2,0)/VLOOKUP(Recipe10161922[[#This Row],[חומר גלם]],'חומרי גלם'!A:D,3,0),2)</f>
        <v>3.63</v>
      </c>
      <c r="J4" s="16">
        <v>54</v>
      </c>
      <c r="K4" s="17">
        <f>ROUNDUP(D1/J4,2)</f>
        <v>0.57999999999999996</v>
      </c>
      <c r="L4" s="17" cm="1">
        <f t="array" ref="L4">ROUNDUP(Work11172023[עלות עבודה]/J4,2)</f>
        <v>1.86</v>
      </c>
      <c r="M4" s="8">
        <f>L4+K4</f>
        <v>2.44</v>
      </c>
      <c r="O4" s="3" t="s">
        <v>125</v>
      </c>
      <c r="P4" s="3">
        <v>1</v>
      </c>
      <c r="Q4" s="11">
        <f>ROUNDUP(VLOOKUP(SinglePack12182124[[#This Row],[מוצר]],אריזות!A:C,2,0)/VLOOKUP(SinglePack12182124[[#This Row],[מוצר]],אריזות!A:C,3,0)*SinglePack12182124[[#This Row],[כמות]],2)</f>
        <v>0.3</v>
      </c>
    </row>
    <row r="5" spans="1:20" ht="24.95" customHeight="1" x14ac:dyDescent="0.3">
      <c r="A5" s="3" t="s">
        <v>118</v>
      </c>
      <c r="B5" s="3">
        <v>250</v>
      </c>
      <c r="C5" s="10" t="str">
        <f>VLOOKUP(Recipe10161922[[#This Row],[חומר גלם]],'חומרי גלם'!A:D,4,0)</f>
        <v>גרם</v>
      </c>
      <c r="D5" s="11">
        <f>ROUNDUP(Recipe10161922[[#This Row],[כמות במתכון]]*VLOOKUP(Recipe10161922[[#This Row],[חומר גלם]],'חומרי גלם'!A:D,2,0)/VLOOKUP(Recipe10161922[[#This Row],[חומר גלם]],'חומרי גלם'!A:D,3,0),2)</f>
        <v>9.379999999999999</v>
      </c>
    </row>
    <row r="6" spans="1:20" ht="24.95" customHeight="1" x14ac:dyDescent="0.3">
      <c r="A6" s="3" t="s">
        <v>53</v>
      </c>
      <c r="B6" s="3">
        <v>0.5</v>
      </c>
      <c r="C6" s="10" t="str">
        <f>VLOOKUP(Recipe10161922[[#This Row],[חומר גלם]],'חומרי גלם'!A:D,4,0)</f>
        <v>גרם</v>
      </c>
      <c r="D6" s="11">
        <f>ROUNDUP(Recipe10161922[[#This Row],[כמות במתכון]]*VLOOKUP(Recipe10161922[[#This Row],[חומר גלם]],'חומרי גלם'!A:D,2,0)/VLOOKUP(Recipe10161922[[#This Row],[חומר גלם]],'חומרי גלם'!A:D,3,0),2)</f>
        <v>0.01</v>
      </c>
    </row>
    <row r="7" spans="1:20" ht="24.95" customHeight="1" x14ac:dyDescent="0.3">
      <c r="A7" s="3" t="s">
        <v>63</v>
      </c>
      <c r="B7" s="3">
        <v>0.5</v>
      </c>
      <c r="C7" s="10" t="str">
        <f>VLOOKUP(Recipe10161922[[#This Row],[חומר גלם]],'חומרי גלם'!A:D,4,0)</f>
        <v>מיליליטר</v>
      </c>
      <c r="D7" s="11">
        <f>ROUNDUP(Recipe10161922[[#This Row],[כמות במתכון]]*VLOOKUP(Recipe10161922[[#This Row],[חומר גלם]],'חומרי גלם'!A:D,2,0)/VLOOKUP(Recipe10161922[[#This Row],[חומר גלם]],'חומרי גלם'!A:D,3,0),2)</f>
        <v>0.01</v>
      </c>
    </row>
    <row r="8" spans="1:20" ht="24.95" customHeight="1" x14ac:dyDescent="0.3">
      <c r="A8" s="3" t="s">
        <v>214</v>
      </c>
      <c r="B8" s="3">
        <v>1</v>
      </c>
      <c r="C8" s="10" t="str">
        <f>VLOOKUP(Recipe10161922[[#This Row],[חומר גלם]],'חומרי גלם'!A:D,4,0)</f>
        <v>יחידות</v>
      </c>
      <c r="D8" s="11">
        <f>ROUNDUP(Recipe10161922[[#This Row],[כמות במתכון]]*VLOOKUP(Recipe10161922[[#This Row],[חומר גלם]],'חומרי גלם'!A:D,2,0)/VLOOKUP(Recipe10161922[[#This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8" xr:uid="{4FC450D2-9601-4B52-93AA-16966A747789}">
      <formula1>INDIRECT("Ingredients[חומר גלם]")</formula1>
    </dataValidation>
    <dataValidation type="list" allowBlank="1" showInputMessage="1" showErrorMessage="1" sqref="O3:O4" xr:uid="{757351DD-8AC1-4793-8EE9-958B610C896E}">
      <formula1>INDIRECT("Packages[מוצר]")</formula1>
    </dataValidation>
  </dataValidations>
  <hyperlinks>
    <hyperlink ref="T1" location="ראשי!A1" display="חזרה לתפריט" xr:uid="{6CACA78E-DD72-46DC-B872-276B4FB8B0AC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E518F-E2CA-4243-AA4E-EB453EEF264A}">
  <sheetPr>
    <tabColor theme="9"/>
  </sheetPr>
  <dimension ref="A1:T10"/>
  <sheetViews>
    <sheetView rightToLeft="1" workbookViewId="0">
      <selection activeCell="B11" sqref="B11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ROUNDUP(SUM(Recipe101625[עלות למתכון]),2)</f>
        <v>81.849999999999994</v>
      </c>
      <c r="F1" s="5" t="s">
        <v>9</v>
      </c>
      <c r="J1" s="5" t="s">
        <v>21</v>
      </c>
      <c r="O1" s="5" t="s">
        <v>20</v>
      </c>
      <c r="Q1" s="8">
        <f>SUM(SinglePack121827[עלות])</f>
        <v>4.3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375</v>
      </c>
      <c r="C3" s="10" t="str">
        <f>VLOOKUP(Recipe101625[[#This Row],[חומר גלם]],'חומרי גלם'!A:D,4,0)</f>
        <v>גרם</v>
      </c>
      <c r="D3" s="11">
        <f>ROUNDUP(Recipe101625[[#This Row],[כמות במתכון]]*VLOOKUP(Recipe101625[[#This Row],[חומר גלם]],'חומרי גלם'!A:D,2,0)/VLOOKUP(Recipe101625[[#This Row],[חומר גלם]],'חומרי גלם'!A:D,3,0),2)</f>
        <v>8.629999999999999</v>
      </c>
      <c r="F3" s="3">
        <v>1.3</v>
      </c>
      <c r="G3" s="3">
        <v>100</v>
      </c>
      <c r="H3" s="10">
        <f>Work111726[[#This Row],[עלות לשעת עבודה]]*Work111726[[#This Row],[שעות עבודה]]</f>
        <v>130</v>
      </c>
      <c r="J3" s="25"/>
      <c r="K3" s="12" t="s">
        <v>14</v>
      </c>
      <c r="L3" s="13" t="s">
        <v>9</v>
      </c>
      <c r="M3" s="14" t="s">
        <v>15</v>
      </c>
      <c r="O3" s="3" t="s">
        <v>101</v>
      </c>
      <c r="P3" s="3">
        <v>1</v>
      </c>
      <c r="Q3" s="11">
        <f>ROUNDUP(VLOOKUP(SinglePack121827[[#This Row],[מוצר]],אריזות!A:C,2,0)/VLOOKUP(SinglePack121827[[#This Row],[מוצר]],אריזות!A:C,3,0)*SinglePack121827[[#This Row],[כמות]],2)</f>
        <v>4</v>
      </c>
      <c r="S3" s="15">
        <f>Q1+M4</f>
        <v>216.15</v>
      </c>
    </row>
    <row r="4" spans="1:20" ht="24.95" customHeight="1" thickTop="1" x14ac:dyDescent="0.3">
      <c r="A4" s="3" t="s">
        <v>66</v>
      </c>
      <c r="B4" s="3">
        <v>240</v>
      </c>
      <c r="C4" s="10" t="str">
        <f>VLOOKUP(Recipe101625[[#This Row],[חומר גלם]],'חומרי גלם'!A:D,4,0)</f>
        <v>מיליליטר</v>
      </c>
      <c r="D4" s="11">
        <f>ROUNDUP(Recipe101625[[#This Row],[כמות במתכון]]*VLOOKUP(Recipe101625[[#This Row],[חומר גלם]],'חומרי גלם'!A:D,2,0)/VLOOKUP(Recipe101625[[#This Row],[חומר גלם]],'חומרי גלם'!A:D,3,0),2)</f>
        <v>1.64</v>
      </c>
      <c r="J4" s="16">
        <v>1</v>
      </c>
      <c r="K4" s="17">
        <f>ROUNDUP(D1/J4,2)</f>
        <v>81.849999999999994</v>
      </c>
      <c r="L4" s="17" cm="1">
        <f t="array" ref="L4">ROUNDUP(Work111726[עלות עבודה]/J4,2)</f>
        <v>130</v>
      </c>
      <c r="M4" s="8">
        <f>L4+K4</f>
        <v>211.85</v>
      </c>
      <c r="O4" s="3" t="s">
        <v>125</v>
      </c>
      <c r="P4" s="3">
        <v>1</v>
      </c>
      <c r="Q4" s="11">
        <f>ROUNDUP(VLOOKUP(SinglePack121827[[#This Row],[מוצר]],אריזות!A:C,2,0)/VLOOKUP(SinglePack121827[[#This Row],[מוצר]],אריזות!A:C,3,0)*SinglePack121827[[#This Row],[כמות]],2)</f>
        <v>0.3</v>
      </c>
    </row>
    <row r="5" spans="1:20" ht="24.95" customHeight="1" x14ac:dyDescent="0.3">
      <c r="A5" s="3" t="s">
        <v>117</v>
      </c>
      <c r="B5" s="3">
        <v>150</v>
      </c>
      <c r="C5" s="10" t="str">
        <f>VLOOKUP(Recipe101625[[#This Row],[חומר גלם]],'חומרי גלם'!A:D,4,0)</f>
        <v>גרם</v>
      </c>
      <c r="D5" s="11">
        <f>ROUNDUP(Recipe101625[[#This Row],[כמות במתכון]]*VLOOKUP(Recipe101625[[#This Row],[חומר גלם]],'חומרי גלם'!A:D,2,0)/VLOOKUP(Recipe101625[[#This Row],[חומר גלם]],'חומרי גלם'!A:D,3,0),2)</f>
        <v>4.88</v>
      </c>
    </row>
    <row r="6" spans="1:20" ht="24.95" customHeight="1" x14ac:dyDescent="0.3">
      <c r="A6" s="3" t="s">
        <v>118</v>
      </c>
      <c r="B6" s="3">
        <v>230</v>
      </c>
      <c r="C6" s="10" t="str">
        <f>VLOOKUP(Recipe101625[[#This Row],[חומר גלם]],'חומרי גלם'!A:D,4,0)</f>
        <v>גרם</v>
      </c>
      <c r="D6" s="11">
        <f>ROUNDUP(Recipe101625[[#This Row],[כמות במתכון]]*VLOOKUP(Recipe101625[[#This Row],[חומר גלם]],'חומרי גלם'!A:D,2,0)/VLOOKUP(Recipe101625[[#This Row],[חומר גלם]],'חומרי גלם'!A:D,3,0),2)</f>
        <v>8.629999999999999</v>
      </c>
    </row>
    <row r="7" spans="1:20" ht="24.95" customHeight="1" x14ac:dyDescent="0.3">
      <c r="A7" s="3" t="s">
        <v>119</v>
      </c>
      <c r="B7" s="3">
        <v>150</v>
      </c>
      <c r="C7" s="10" t="str">
        <f>VLOOKUP(Recipe101625[[#This Row],[חומר גלם]],'חומרי גלם'!A:D,4,0)</f>
        <v>גרם</v>
      </c>
      <c r="D7" s="11">
        <f>ROUNDUP(Recipe101625[[#This Row],[כמות במתכון]]*VLOOKUP(Recipe101625[[#This Row],[חומר גלם]],'חומרי גלם'!A:D,2,0)/VLOOKUP(Recipe101625[[#This Row],[חומר גלם]],'חומרי גלם'!A:D,3,0),2)</f>
        <v>5.63</v>
      </c>
    </row>
    <row r="8" spans="1:20" ht="24.95" customHeight="1" x14ac:dyDescent="0.3">
      <c r="A8" s="3" t="s">
        <v>35</v>
      </c>
      <c r="B8" s="3">
        <v>1140</v>
      </c>
      <c r="C8" s="10" t="str">
        <f>VLOOKUP(Recipe101625[[#This Row],[חומר גלם]],'חומרי גלם'!A:D,4,0)</f>
        <v>גרם</v>
      </c>
      <c r="D8" s="11">
        <f>ROUNDUP(Recipe101625[[#This Row],[כמות במתכון]]*VLOOKUP(Recipe101625[[#This Row],[חומר גלם]],'חומרי גלם'!A:D,2,0)/VLOOKUP(Recipe101625[[#This Row],[חומר גלם]],'חומרי גלם'!A:D,3,0),2)</f>
        <v>32.239999999999995</v>
      </c>
    </row>
    <row r="9" spans="1:20" ht="24.95" customHeight="1" x14ac:dyDescent="0.3">
      <c r="A9" s="3" t="s">
        <v>62</v>
      </c>
      <c r="B9" s="3">
        <v>10</v>
      </c>
      <c r="C9" s="10" t="str">
        <f>VLOOKUP(Recipe101625[[#This Row],[חומר גלם]],'חומרי גלם'!A:D,4,0)</f>
        <v>גרם</v>
      </c>
      <c r="D9" s="11">
        <f>ROUNDUP(Recipe101625[[#This Row],[כמות במתכון]]*VLOOKUP(Recipe101625[[#This Row],[חומר גלם]],'חומרי גלם'!A:D,2,0)/VLOOKUP(Recipe101625[[#This Row],[חומר גלם]],'חומרי גלם'!A:D,3,0),2)</f>
        <v>0.2</v>
      </c>
    </row>
    <row r="10" spans="1:20" ht="24.95" customHeight="1" x14ac:dyDescent="0.3">
      <c r="A10" s="3" t="s">
        <v>215</v>
      </c>
      <c r="B10" s="3">
        <v>1</v>
      </c>
      <c r="C10" s="10" t="str">
        <f>VLOOKUP(Recipe101625[[#This Row],[חומר גלם]],'חומרי גלם'!A:D,4,0)</f>
        <v>יחידות</v>
      </c>
      <c r="D10" s="11">
        <f>ROUNDUP(Recipe101625[[#This Row],[כמות במתכון]]*VLOOKUP(Recipe101625[[#This Row],[חומר גלם]],'חומרי גלם'!A:D,2,0)/VLOOKUP(Recipe101625[[#This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10763DAF-0DF7-4FF5-BC64-F4770BD3BF5D}">
      <formula1>INDIRECT("Packages[מוצר]")</formula1>
    </dataValidation>
    <dataValidation type="list" allowBlank="1" showInputMessage="1" showErrorMessage="1" sqref="A3:A10" xr:uid="{D6D21779-2898-4D1A-8684-1F74C7B401DC}">
      <formula1>INDIRECT("Ingredients[חומר גלם]")</formula1>
    </dataValidation>
  </dataValidations>
  <hyperlinks>
    <hyperlink ref="T1" location="ראשי!A1" display="חזרה לתפריט" xr:uid="{20B2961B-F941-47D0-B4CB-B04C2369188C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73138-41C4-43C1-84E8-2C1DD32EB2E5}">
  <sheetPr>
    <tabColor theme="9"/>
  </sheetPr>
  <dimension ref="A1:T10"/>
  <sheetViews>
    <sheetView rightToLeft="1" workbookViewId="0">
      <selection activeCell="B11" sqref="B11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ROUNDUP(SUM(Recipe10162530[עלות למתכון]),2)</f>
        <v>60.83</v>
      </c>
      <c r="F1" s="5" t="s">
        <v>9</v>
      </c>
      <c r="J1" s="5" t="s">
        <v>21</v>
      </c>
      <c r="O1" s="5" t="s">
        <v>20</v>
      </c>
      <c r="Q1" s="8">
        <f>SUM(SinglePack12182729[עלות])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160</v>
      </c>
      <c r="B3" s="3">
        <v>150</v>
      </c>
      <c r="C3" s="10" t="str">
        <f>VLOOKUP(Recipe10162530[[#This Row],[חומר גלם]],'חומרי גלם'!A:D,4,0)</f>
        <v>גרם</v>
      </c>
      <c r="D3" s="11">
        <f>ROUNDUP(Recipe10162530[[#This Row],[כמות במתכון]]*VLOOKUP(Recipe10162530[[#This Row],[חומר גלם]],'חומרי גלם'!A:D,2,0)/VLOOKUP(Recipe10162530[[#This Row],[חומר גלם]],'חומרי גלם'!A:D,3,0),2)</f>
        <v>9.18</v>
      </c>
      <c r="F3" s="3">
        <v>1</v>
      </c>
      <c r="G3" s="3">
        <v>100</v>
      </c>
      <c r="H3" s="10">
        <f>Work11172628[[#This Row],[עלות לשעת עבודה]]*Work11172628[[#This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113</v>
      </c>
      <c r="P3" s="3">
        <v>1</v>
      </c>
      <c r="Q3" s="11">
        <f>ROUNDUP(VLOOKUP(SinglePack12182729[[#This Row],[מוצר]],אריזות!A:C,2,0)/VLOOKUP(SinglePack12182729[[#This Row],[מוצר]],אריזות!A:C,3,0)*SinglePack12182729[[#This Row],[כמות]],2)</f>
        <v>3.5</v>
      </c>
      <c r="S3" s="15">
        <f>Q1+M4</f>
        <v>8.8699999999999992</v>
      </c>
    </row>
    <row r="4" spans="1:20" ht="24.95" customHeight="1" thickTop="1" x14ac:dyDescent="0.3">
      <c r="A4" s="3" t="s">
        <v>146</v>
      </c>
      <c r="B4" s="3">
        <v>250</v>
      </c>
      <c r="C4" s="10" t="str">
        <f>VLOOKUP(Recipe10162530[[#This Row],[חומר גלם]],'חומרי גלם'!A:D,4,0)</f>
        <v>גרם</v>
      </c>
      <c r="D4" s="11">
        <f>ROUNDUP(Recipe10162530[[#This Row],[כמות במתכון]]*VLOOKUP(Recipe10162530[[#This Row],[חומר גלם]],'חומרי גלם'!A:D,2,0)/VLOOKUP(Recipe10162530[[#This Row],[חומר גלם]],'חומרי גלם'!A:D,3,0),2)</f>
        <v>5.75</v>
      </c>
      <c r="J4" s="16">
        <v>30</v>
      </c>
      <c r="K4" s="17">
        <f>ROUNDUP(D1/J4,2)</f>
        <v>2.0299999999999998</v>
      </c>
      <c r="L4" s="17" cm="1">
        <f t="array" ref="L4">ROUNDUP(Work11172628[עלות עבודה]/J4,2)</f>
        <v>3.34</v>
      </c>
      <c r="M4" s="8">
        <f>L4+K4</f>
        <v>5.3699999999999992</v>
      </c>
    </row>
    <row r="5" spans="1:20" ht="24.95" customHeight="1" x14ac:dyDescent="0.3">
      <c r="A5" s="3" t="s">
        <v>118</v>
      </c>
      <c r="B5" s="3">
        <v>550</v>
      </c>
      <c r="C5" s="10" t="str">
        <f>VLOOKUP(Recipe10162530[[#This Row],[חומר גלם]],'חומרי גלם'!A:D,4,0)</f>
        <v>גרם</v>
      </c>
      <c r="D5" s="11">
        <f>ROUNDUP(Recipe10162530[[#This Row],[כמות במתכון]]*VLOOKUP(Recipe10162530[[#This Row],[חומר גלם]],'חומרי גלם'!A:D,2,0)/VLOOKUP(Recipe10162530[[#This Row],[חומר גלם]],'חומרי גלם'!A:D,3,0),2)</f>
        <v>20.630000000000003</v>
      </c>
    </row>
    <row r="6" spans="1:20" ht="24.95" customHeight="1" x14ac:dyDescent="0.3">
      <c r="A6" s="3" t="s">
        <v>119</v>
      </c>
      <c r="B6" s="3">
        <v>30</v>
      </c>
      <c r="C6" s="10" t="str">
        <f>VLOOKUP(Recipe10162530[[#This Row],[חומר גלם]],'חומרי גלם'!A:D,4,0)</f>
        <v>גרם</v>
      </c>
      <c r="D6" s="11">
        <f>ROUNDUP(Recipe10162530[[#This Row],[כמות במתכון]]*VLOOKUP(Recipe10162530[[#This Row],[חומר גלם]],'חומרי גלם'!A:D,2,0)/VLOOKUP(Recipe10162530[[#This Row],[חומר גלם]],'חומרי גלם'!A:D,3,0),2)</f>
        <v>1.1300000000000001</v>
      </c>
    </row>
    <row r="7" spans="1:20" ht="24.95" customHeight="1" x14ac:dyDescent="0.3">
      <c r="A7" s="3" t="s">
        <v>145</v>
      </c>
      <c r="B7" s="3">
        <v>40</v>
      </c>
      <c r="C7" s="10" t="str">
        <f>VLOOKUP(Recipe10162530[[#This Row],[חומר גלם]],'חומרי גלם'!A:D,4,0)</f>
        <v>גרם</v>
      </c>
      <c r="D7" s="11">
        <f>ROUNDUP(Recipe10162530[[#This Row],[כמות במתכון]]*VLOOKUP(Recipe10162530[[#This Row],[חומר גלם]],'חומרי גלם'!A:D,2,0)/VLOOKUP(Recipe10162530[[#This Row],[חומר גלם]],'חומרי גלם'!A:D,3,0),2)</f>
        <v>2.4</v>
      </c>
    </row>
    <row r="8" spans="1:20" ht="24.95" customHeight="1" x14ac:dyDescent="0.3">
      <c r="A8" s="3" t="s">
        <v>73</v>
      </c>
      <c r="B8" s="3">
        <v>80</v>
      </c>
      <c r="C8" s="10" t="str">
        <f>VLOOKUP(Recipe10162530[[#This Row],[חומר גלם]],'חומרי גלם'!A:D,4,0)</f>
        <v>גרם</v>
      </c>
      <c r="D8" s="11">
        <f>ROUNDUP(Recipe10162530[[#This Row],[כמות במתכון]]*VLOOKUP(Recipe10162530[[#This Row],[חומר גלם]],'חומרי גלם'!A:D,2,0)/VLOOKUP(Recipe10162530[[#This Row],[חומר גלם]],'חומרי גלם'!A:D,3,0),2)</f>
        <v>3.6</v>
      </c>
    </row>
    <row r="9" spans="1:20" ht="24.95" customHeight="1" x14ac:dyDescent="0.3">
      <c r="A9" s="3" t="s">
        <v>161</v>
      </c>
      <c r="B9" s="3">
        <v>30</v>
      </c>
      <c r="C9" s="10" t="str">
        <f>VLOOKUP(Recipe10162530[[#This Row],[חומר גלם]],'חומרי גלם'!A:D,4,0)</f>
        <v>גרם</v>
      </c>
      <c r="D9" s="11">
        <f>ROUNDUP(Recipe10162530[[#This Row],[כמות במתכון]]*VLOOKUP(Recipe10162530[[#This Row],[חומר גלם]],'חומרי גלם'!A:D,2,0)/VLOOKUP(Recipe10162530[[#This Row],[חומר גלם]],'חומרי גלם'!A:D,3,0),2)</f>
        <v>3.1399999999999997</v>
      </c>
    </row>
    <row r="10" spans="1:20" ht="24.95" customHeight="1" x14ac:dyDescent="0.3">
      <c r="A10" s="3" t="s">
        <v>214</v>
      </c>
      <c r="B10" s="3">
        <v>1</v>
      </c>
      <c r="C10" s="10" t="str">
        <f>VLOOKUP(Recipe10162530[[#This Row],[חומר גלם]],'חומרי גלם'!A:D,4,0)</f>
        <v>יחידות</v>
      </c>
      <c r="D10" s="11">
        <f>ROUNDUP(Recipe10162530[[#This Row],[כמות במתכון]]*VLOOKUP(Recipe10162530[[#This Row],[חומר גלם]],'חומרי גלם'!A:D,2,0)/VLOOKUP(Recipe10162530[[#This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0" xr:uid="{4CFBBFB3-F853-45FB-B3FE-17531F96CFD4}">
      <formula1>INDIRECT("Ingredients[חומר גלם]")</formula1>
    </dataValidation>
    <dataValidation type="list" allowBlank="1" showInputMessage="1" showErrorMessage="1" sqref="O3" xr:uid="{492EB864-A08C-4F1C-8402-00C60299D3F0}">
      <formula1>INDIRECT("Packages[מוצר]")</formula1>
    </dataValidation>
  </dataValidations>
  <hyperlinks>
    <hyperlink ref="T1" location="ראשי!A1" display="חזרה לתפריט" xr:uid="{99EE9EA3-A24A-4E6F-8870-771BF0CBEE7B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E0605-889D-42E7-9AFB-3EDD5311EC55}">
  <sheetPr>
    <tabColor theme="9"/>
  </sheetPr>
  <dimension ref="A1:T13"/>
  <sheetViews>
    <sheetView rightToLeft="1" workbookViewId="0">
      <selection activeCell="B14" sqref="B14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ROUNDUP(SUM(Recipe101625303336[עלות למתכון]),2)</f>
        <v>33.840000000000003</v>
      </c>
      <c r="F1" s="5" t="s">
        <v>9</v>
      </c>
      <c r="J1" s="5" t="s">
        <v>21</v>
      </c>
      <c r="O1" s="5" t="s">
        <v>20</v>
      </c>
      <c r="Q1" s="8">
        <f>SUM(SinglePack121827293235[עלות])</f>
        <v>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100</v>
      </c>
      <c r="C3" s="10" t="str">
        <f>VLOOKUP(Recipe101625303336[[#This Row],[חומר גלם]],'חומרי גלם'!A:D,4,0)</f>
        <v>גרם</v>
      </c>
      <c r="D3" s="11">
        <f>ROUNDUP(Recipe101625303336[[#This Row],[כמות במתכון]]*VLOOKUP(Recipe101625303336[[#This Row],[חומר גלם]],'חומרי גלם'!A:D,2,0)/VLOOKUP(Recipe101625303336[[#This Row],[חומר גלם]],'חומרי גלם'!A:D,3,0),2)</f>
        <v>4.5</v>
      </c>
      <c r="F3" s="3">
        <v>1</v>
      </c>
      <c r="G3" s="3">
        <v>100</v>
      </c>
      <c r="H3" s="10">
        <f>Work111726283134[[#This Row],[עלות לשעת עבודה]]*Work111726283134[[#This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109</v>
      </c>
      <c r="P3" s="3">
        <v>1</v>
      </c>
      <c r="Q3" s="11">
        <f>ROUNDUP(VLOOKUP(SinglePack121827293235[[#This Row],[מוצר]],אריזות!A:C,2,0)/VLOOKUP(SinglePack121827293235[[#This Row],[מוצר]],אריזות!A:C,3,0)*SinglePack121827293235[[#This Row],[כמות]],2)</f>
        <v>5</v>
      </c>
      <c r="S3" s="15">
        <f>Q1+M4</f>
        <v>10.83</v>
      </c>
    </row>
    <row r="4" spans="1:20" ht="24.95" customHeight="1" thickTop="1" x14ac:dyDescent="0.3">
      <c r="A4" s="3" t="s">
        <v>51</v>
      </c>
      <c r="B4" s="3">
        <v>75</v>
      </c>
      <c r="C4" s="10" t="str">
        <f>VLOOKUP(Recipe101625303336[[#This Row],[חומר גלם]],'חומרי גלם'!A:D,4,0)</f>
        <v>גרם</v>
      </c>
      <c r="D4" s="11">
        <f>ROUNDUP(Recipe101625303336[[#This Row],[כמות במתכון]]*VLOOKUP(Recipe101625303336[[#This Row],[חומר גלם]],'חומרי גלם'!A:D,2,0)/VLOOKUP(Recipe101625303336[[#This Row],[חומר גלם]],'חומרי גלם'!A:D,3,0),2)</f>
        <v>1.1200000000000001</v>
      </c>
      <c r="J4" s="16">
        <v>23</v>
      </c>
      <c r="K4" s="17">
        <f>ROUNDUP(D1/J4,2)</f>
        <v>1.48</v>
      </c>
      <c r="L4" s="17" cm="1">
        <f t="array" ref="L4">ROUNDUP(Work111726283134[עלות עבודה]/J4,2)</f>
        <v>4.3499999999999996</v>
      </c>
      <c r="M4" s="8">
        <f>L4+K4</f>
        <v>5.83</v>
      </c>
    </row>
    <row r="5" spans="1:20" ht="24.95" customHeight="1" x14ac:dyDescent="0.3">
      <c r="A5" s="3" t="s">
        <v>97</v>
      </c>
      <c r="B5" s="3">
        <v>1</v>
      </c>
      <c r="C5" s="10" t="str">
        <f>VLOOKUP(Recipe101625303336[[#This Row],[חומר גלם]],'חומרי גלם'!A:D,4,0)</f>
        <v>יחידות</v>
      </c>
      <c r="D5" s="11">
        <f>ROUNDUP(Recipe101625303336[[#This Row],[כמות במתכון]]*VLOOKUP(Recipe101625303336[[#This Row],[חומר גלם]],'חומרי גלם'!A:D,2,0)/VLOOKUP(Recipe101625303336[[#This Row],[חומר גלם]],'חומרי גלם'!A:D,3,0),2)</f>
        <v>1.08</v>
      </c>
    </row>
    <row r="6" spans="1:20" ht="24.95" customHeight="1" x14ac:dyDescent="0.3">
      <c r="A6" s="3" t="s">
        <v>145</v>
      </c>
      <c r="B6" s="3">
        <v>40</v>
      </c>
      <c r="C6" s="10" t="str">
        <f>VLOOKUP(Recipe101625303336[[#This Row],[חומר גלם]],'חומרי גלם'!A:D,4,0)</f>
        <v>גרם</v>
      </c>
      <c r="D6" s="11">
        <f>ROUNDUP(Recipe101625303336[[#This Row],[כמות במתכון]]*VLOOKUP(Recipe101625303336[[#This Row],[חומר גלם]],'חומרי גלם'!A:D,2,0)/VLOOKUP(Recipe101625303336[[#This Row],[חומר גלם]],'חומרי גלם'!A:D,3,0),2)</f>
        <v>2.4</v>
      </c>
    </row>
    <row r="7" spans="1:20" ht="24.95" customHeight="1" x14ac:dyDescent="0.3">
      <c r="A7" s="3" t="s">
        <v>43</v>
      </c>
      <c r="B7" s="3">
        <v>190</v>
      </c>
      <c r="C7" s="10" t="str">
        <f>VLOOKUP(Recipe101625303336[[#This Row],[חומר גלם]],'חומרי גלם'!A:D,4,0)</f>
        <v>גרם</v>
      </c>
      <c r="D7" s="11">
        <f>ROUNDUP(Recipe101625303336[[#This Row],[כמות במתכון]]*VLOOKUP(Recipe101625303336[[#This Row],[חומר גלם]],'חומרי גלם'!A:D,2,0)/VLOOKUP(Recipe101625303336[[#This Row],[חומר גלם]],'חומרי גלם'!A:D,3,0),2)</f>
        <v>1.64</v>
      </c>
    </row>
    <row r="8" spans="1:20" ht="24.95" customHeight="1" x14ac:dyDescent="0.3">
      <c r="A8" s="3" t="s">
        <v>56</v>
      </c>
      <c r="B8" s="3">
        <v>5</v>
      </c>
      <c r="C8" s="10" t="str">
        <f>VLOOKUP(Recipe101625303336[[#This Row],[חומר גלם]],'חומרי גלם'!A:D,4,0)</f>
        <v>גרם</v>
      </c>
      <c r="D8" s="11">
        <f>ROUNDUP(Recipe101625303336[[#This Row],[כמות במתכון]]*VLOOKUP(Recipe101625303336[[#This Row],[חומר גלם]],'חומרי גלם'!A:D,2,0)/VLOOKUP(Recipe101625303336[[#This Row],[חומר גלם]],'חומרי גלם'!A:D,3,0),2)</f>
        <v>9.9999999999999992E-2</v>
      </c>
    </row>
    <row r="9" spans="1:20" ht="24.95" customHeight="1" x14ac:dyDescent="0.3">
      <c r="A9" s="3" t="s">
        <v>59</v>
      </c>
      <c r="B9" s="3">
        <v>2</v>
      </c>
      <c r="C9" s="10" t="str">
        <f>VLOOKUP(Recipe101625303336[[#This Row],[חומר גלם]],'חומרי גלם'!A:D,4,0)</f>
        <v>גרם</v>
      </c>
      <c r="D9" s="11">
        <f>ROUNDUP(Recipe101625303336[[#This Row],[כמות במתכון]]*VLOOKUP(Recipe101625303336[[#This Row],[חומר גלם]],'חומרי גלם'!A:D,2,0)/VLOOKUP(Recipe101625303336[[#This Row],[חומר גלם]],'חומרי גלם'!A:D,3,0),2)</f>
        <v>0.12</v>
      </c>
    </row>
    <row r="10" spans="1:20" ht="24.95" customHeight="1" x14ac:dyDescent="0.3">
      <c r="A10" s="3" t="s">
        <v>52</v>
      </c>
      <c r="B10" s="3">
        <v>2</v>
      </c>
      <c r="C10" s="10" t="str">
        <f>VLOOKUP(Recipe101625303336[[#This Row],[חומר גלם]],'חומרי גלם'!A:D,4,0)</f>
        <v>גרם</v>
      </c>
      <c r="D10" s="11">
        <f>ROUNDUP(Recipe101625303336[[#This Row],[כמות במתכון]]*VLOOKUP(Recipe101625303336[[#This Row],[חומר גלם]],'חומרי גלם'!A:D,2,0)/VLOOKUP(Recipe101625303336[[#This Row],[חומר גלם]],'חומרי גלם'!A:D,3,0),2)</f>
        <v>0.01</v>
      </c>
    </row>
    <row r="11" spans="1:20" ht="24.95" customHeight="1" x14ac:dyDescent="0.3">
      <c r="A11" s="3" t="s">
        <v>164</v>
      </c>
      <c r="B11" s="3">
        <v>30</v>
      </c>
      <c r="C11" s="10" t="str">
        <f>VLOOKUP(Recipe101625303336[[#This Row],[חומר גלם]],'חומרי גלם'!A:D,4,0)</f>
        <v>גרם</v>
      </c>
      <c r="D11" s="11">
        <f>ROUNDUP(Recipe101625303336[[#This Row],[כמות במתכון]]*VLOOKUP(Recipe101625303336[[#This Row],[חומר גלם]],'חומרי גלם'!A:D,2,0)/VLOOKUP(Recipe101625303336[[#This Row],[חומר גלם]],'חומרי גלם'!A:D,3,0),2)</f>
        <v>4.2</v>
      </c>
    </row>
    <row r="12" spans="1:20" ht="24.95" customHeight="1" x14ac:dyDescent="0.3">
      <c r="A12" s="3" t="s">
        <v>64</v>
      </c>
      <c r="B12" s="3">
        <v>80</v>
      </c>
      <c r="C12" s="10" t="str">
        <f>VLOOKUP(Recipe101625303336[[#This Row],[חומר גלם]],'חומרי גלם'!A:D,4,0)</f>
        <v>גרם</v>
      </c>
      <c r="D12" s="11">
        <f>ROUNDUP(Recipe101625303336[[#This Row],[כמות במתכון]]*VLOOKUP(Recipe101625303336[[#This Row],[חומר גלם]],'חומרי גלם'!A:D,2,0)/VLOOKUP(Recipe101625303336[[#This Row],[חומר גלם]],'חומרי גלם'!A:D,3,0),2)</f>
        <v>3.67</v>
      </c>
    </row>
    <row r="13" spans="1:20" ht="24.95" customHeight="1" x14ac:dyDescent="0.3">
      <c r="A13" s="3" t="s">
        <v>214</v>
      </c>
      <c r="B13" s="3">
        <v>1</v>
      </c>
      <c r="C13" s="10" t="str">
        <f>VLOOKUP(Recipe101625303336[[#This Row],[חומר גלם]],'חומרי גלם'!A:D,4,0)</f>
        <v>יחידות</v>
      </c>
      <c r="D13" s="11">
        <f>ROUNDUP(Recipe101625303336[[#This Row],[כמות במתכון]]*VLOOKUP(Recipe101625303336[[#This Row],[חומר גלם]],'חומרי גלם'!A:D,2,0)/VLOOKUP(Recipe101625303336[[#This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3" xr:uid="{3AC6A1C3-8506-4F05-8874-96BF6B795CCD}">
      <formula1>INDIRECT("Ingredients[חומר גלם]")</formula1>
    </dataValidation>
    <dataValidation type="list" allowBlank="1" showInputMessage="1" showErrorMessage="1" sqref="O3" xr:uid="{987688B1-A289-4A62-AEAF-C360844144EC}">
      <formula1>INDIRECT("Packages[מוצר]")</formula1>
    </dataValidation>
  </dataValidations>
  <hyperlinks>
    <hyperlink ref="T1" location="ראשי!A1" display="חזרה לתפריט" xr:uid="{244DE4EF-3A68-4293-8E5C-198EEF94AF1E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B6452-6544-4853-B82E-0D02011925EB}">
  <sheetPr>
    <tabColor theme="9"/>
  </sheetPr>
  <dimension ref="A1:T10"/>
  <sheetViews>
    <sheetView rightToLeft="1" workbookViewId="0">
      <selection activeCell="B10" sqref="B10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ROUNDUP(SUM(Recipe1016253033[עלות למתכון]),2)</f>
        <v>52.83</v>
      </c>
      <c r="F1" s="5" t="s">
        <v>9</v>
      </c>
      <c r="J1" s="5" t="s">
        <v>21</v>
      </c>
      <c r="O1" s="5" t="s">
        <v>20</v>
      </c>
      <c r="Q1" s="8">
        <f>SUM(SinglePack1218272932[עלות])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38</v>
      </c>
      <c r="B3" s="3">
        <v>176</v>
      </c>
      <c r="C3" s="10" t="str">
        <f>VLOOKUP(Recipe1016253033[[#This Row],[חומר גלם]],'חומרי גלם'!A:D,4,0)</f>
        <v>גרם</v>
      </c>
      <c r="D3" s="11">
        <f>ROUNDUP(Recipe1016253033[[#This Row],[כמות במתכון]]*VLOOKUP(Recipe1016253033[[#This Row],[חומר גלם]],'חומרי גלם'!A:D,2,0)/VLOOKUP(Recipe1016253033[[#This Row],[חומר גלם]],'חומרי גלם'!A:D,3,0),2)</f>
        <v>9.9</v>
      </c>
      <c r="F3" s="3">
        <v>1.5</v>
      </c>
      <c r="G3" s="3">
        <v>100</v>
      </c>
      <c r="H3" s="10">
        <f>Work1117262831[[#This Row],[עלות לשעת עבודה]]*Work1117262831[[#This Row],[שעות עבודה]]</f>
        <v>150</v>
      </c>
      <c r="J3" s="25"/>
      <c r="K3" s="12" t="s">
        <v>14</v>
      </c>
      <c r="L3" s="13" t="s">
        <v>9</v>
      </c>
      <c r="M3" s="14" t="s">
        <v>15</v>
      </c>
      <c r="O3" s="3" t="s">
        <v>113</v>
      </c>
      <c r="P3" s="3">
        <v>1</v>
      </c>
      <c r="Q3" s="11">
        <f>ROUNDUP(VLOOKUP(SinglePack1218272932[[#This Row],[מוצר]],אריזות!A:C,2,0)/VLOOKUP(SinglePack1218272932[[#This Row],[מוצר]],אריזות!A:C,3,0)*SinglePack1218272932[[#This Row],[כמות]],2)</f>
        <v>3.5</v>
      </c>
      <c r="S3" s="15">
        <f>Q1+M4</f>
        <v>11.62</v>
      </c>
    </row>
    <row r="4" spans="1:20" ht="24.95" customHeight="1" thickTop="1" x14ac:dyDescent="0.3">
      <c r="A4" s="3" t="s">
        <v>119</v>
      </c>
      <c r="B4" s="3">
        <v>220</v>
      </c>
      <c r="C4" s="10" t="str">
        <f>VLOOKUP(Recipe1016253033[[#This Row],[חומר גלם]],'חומרי גלם'!A:D,4,0)</f>
        <v>גרם</v>
      </c>
      <c r="D4" s="11">
        <f>ROUNDUP(Recipe1016253033[[#This Row],[כמות במתכון]]*VLOOKUP(Recipe1016253033[[#This Row],[חומר גלם]],'חומרי גלם'!A:D,2,0)/VLOOKUP(Recipe1016253033[[#This Row],[חומר גלם]],'חומרי גלם'!A:D,3,0),2)</f>
        <v>8.25</v>
      </c>
      <c r="J4" s="16">
        <v>25</v>
      </c>
      <c r="K4" s="17">
        <f>ROUNDUP(D1/J4,2)</f>
        <v>2.1199999999999997</v>
      </c>
      <c r="L4" s="17" cm="1">
        <f t="array" ref="L4">ROUNDUP(Work1117262831[עלות עבודה]/J4,2)</f>
        <v>6</v>
      </c>
      <c r="M4" s="8">
        <f>L4+K4</f>
        <v>8.1199999999999992</v>
      </c>
    </row>
    <row r="5" spans="1:20" ht="24.95" customHeight="1" x14ac:dyDescent="0.3">
      <c r="A5" s="3" t="s">
        <v>35</v>
      </c>
      <c r="B5" s="3">
        <v>65</v>
      </c>
      <c r="C5" s="10" t="str">
        <f>VLOOKUP(Recipe1016253033[[#This Row],[חומר גלם]],'חומרי גלם'!A:D,4,0)</f>
        <v>גרם</v>
      </c>
      <c r="D5" s="11">
        <f>ROUNDUP(Recipe1016253033[[#This Row],[כמות במתכון]]*VLOOKUP(Recipe1016253033[[#This Row],[חומר גלם]],'חומרי גלם'!A:D,2,0)/VLOOKUP(Recipe1016253033[[#This Row],[חומר גלם]],'חומרי גלם'!A:D,3,0),2)</f>
        <v>1.84</v>
      </c>
    </row>
    <row r="6" spans="1:20" ht="24.95" customHeight="1" x14ac:dyDescent="0.3">
      <c r="A6" s="3" t="s">
        <v>73</v>
      </c>
      <c r="B6" s="3">
        <v>10</v>
      </c>
      <c r="C6" s="10" t="str">
        <f>VLOOKUP(Recipe1016253033[[#This Row],[חומר גלם]],'חומרי גלם'!A:D,4,0)</f>
        <v>גרם</v>
      </c>
      <c r="D6" s="11">
        <f>ROUNDUP(Recipe1016253033[[#This Row],[כמות במתכון]]*VLOOKUP(Recipe1016253033[[#This Row],[חומר גלם]],'חומרי גלם'!A:D,2,0)/VLOOKUP(Recipe1016253033[[#This Row],[חומר גלם]],'חומרי גלם'!A:D,3,0),2)</f>
        <v>0.45</v>
      </c>
    </row>
    <row r="7" spans="1:20" ht="24.95" customHeight="1" x14ac:dyDescent="0.3">
      <c r="A7" s="3" t="s">
        <v>146</v>
      </c>
      <c r="B7" s="3">
        <v>40</v>
      </c>
      <c r="C7" s="10" t="str">
        <f>VLOOKUP(Recipe1016253033[[#This Row],[חומר גלם]],'חומרי גלם'!A:D,4,0)</f>
        <v>גרם</v>
      </c>
      <c r="D7" s="11">
        <f>ROUNDUP(Recipe1016253033[[#This Row],[כמות במתכון]]*VLOOKUP(Recipe1016253033[[#This Row],[חומר גלם]],'חומרי גלם'!A:D,2,0)/VLOOKUP(Recipe1016253033[[#This Row],[חומר גלם]],'חומרי גלם'!A:D,3,0),2)</f>
        <v>0.92</v>
      </c>
    </row>
    <row r="8" spans="1:20" ht="24.95" customHeight="1" x14ac:dyDescent="0.3">
      <c r="A8" s="3" t="s">
        <v>161</v>
      </c>
      <c r="B8" s="3">
        <v>20</v>
      </c>
      <c r="C8" s="10" t="str">
        <f>VLOOKUP(Recipe1016253033[[#This Row],[חומר גלם]],'חומרי גלם'!A:D,4,0)</f>
        <v>גרם</v>
      </c>
      <c r="D8" s="11">
        <f>ROUNDUP(Recipe1016253033[[#This Row],[כמות במתכון]]*VLOOKUP(Recipe1016253033[[#This Row],[חומר גלם]],'חומרי גלם'!A:D,2,0)/VLOOKUP(Recipe1016253033[[#This Row],[חומר גלם]],'חומרי גלם'!A:D,3,0),2)</f>
        <v>2.09</v>
      </c>
    </row>
    <row r="9" spans="1:20" ht="24.95" customHeight="1" x14ac:dyDescent="0.3">
      <c r="A9" s="3" t="s">
        <v>118</v>
      </c>
      <c r="B9" s="3">
        <v>250</v>
      </c>
      <c r="C9" s="10" t="str">
        <f>VLOOKUP(Recipe1016253033[[#This Row],[חומר גלם]],'חומרי גלם'!A:D,4,0)</f>
        <v>גרם</v>
      </c>
      <c r="D9" s="11">
        <f>ROUNDUP(Recipe1016253033[[#This Row],[כמות במתכון]]*VLOOKUP(Recipe1016253033[[#This Row],[חומר גלם]],'חומרי גלם'!A:D,2,0)/VLOOKUP(Recipe1016253033[[#This Row],[חומר גלם]],'חומרי גלם'!A:D,3,0),2)</f>
        <v>9.379999999999999</v>
      </c>
    </row>
    <row r="10" spans="1:20" ht="24.95" customHeight="1" x14ac:dyDescent="0.3">
      <c r="A10" s="3" t="s">
        <v>215</v>
      </c>
      <c r="B10" s="3">
        <v>1</v>
      </c>
      <c r="C10" s="10" t="str">
        <f>VLOOKUP(Recipe1016253033[[#This Row],[חומר גלם]],'חומרי גלם'!A:D,4,0)</f>
        <v>יחידות</v>
      </c>
      <c r="D10" s="11">
        <f>ROUNDUP(Recipe1016253033[[#This Row],[כמות במתכון]]*VLOOKUP(Recipe1016253033[[#This Row],[חומר גלם]],'חומרי גלם'!A:D,2,0)/VLOOKUP(Recipe1016253033[[#This Row],[חומר גלם]],'חומרי גלם'!A:D,3,0),2)</f>
        <v>20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738A5A9A-80BC-4951-95A2-F72987CF3303}">
      <formula1>INDIRECT("Packages[מוצר]")</formula1>
    </dataValidation>
    <dataValidation type="list" allowBlank="1" showInputMessage="1" showErrorMessage="1" sqref="A3:A10" xr:uid="{DD4A712A-59BA-4368-B1CE-8D0DFA446FDF}">
      <formula1>INDIRECT("Ingredients[חומר גלם]")</formula1>
    </dataValidation>
  </dataValidations>
  <hyperlinks>
    <hyperlink ref="T1" location="ראשי!A1" display="חזרה לתפריט" xr:uid="{430F145C-9FEE-43B3-9DCE-9D8DD762CE4D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A558E-E094-4FA0-A40F-75DDC2E8EB0B}">
  <sheetPr>
    <tabColor theme="9"/>
  </sheetPr>
  <dimension ref="A1:T9"/>
  <sheetViews>
    <sheetView rightToLeft="1" workbookViewId="0">
      <selection activeCell="B10" sqref="B10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ROUNDUP(SUM(Recipe10162530333639[עלות למתכון]),2)</f>
        <v>43.78</v>
      </c>
      <c r="F1" s="5" t="s">
        <v>9</v>
      </c>
      <c r="J1" s="5" t="s">
        <v>21</v>
      </c>
      <c r="O1" s="5" t="s">
        <v>20</v>
      </c>
      <c r="Q1" s="8">
        <f>SUM(SinglePack12182729323538[עלות])</f>
        <v>3.5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41</v>
      </c>
      <c r="B3" s="3">
        <v>10</v>
      </c>
      <c r="C3" s="10" t="str">
        <f>VLOOKUP(Recipe10162530333639[[#This Row],[חומר גלם]],'חומרי גלם'!A:D,4,0)</f>
        <v>יחידות</v>
      </c>
      <c r="D3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21.5</v>
      </c>
      <c r="F3" s="3">
        <v>1</v>
      </c>
      <c r="G3" s="3">
        <v>100</v>
      </c>
      <c r="H3" s="10">
        <f>Work11172628313437[[#This Row],[עלות לשעת עבודה]]*Work11172628313437[[#This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113</v>
      </c>
      <c r="P3" s="3">
        <v>1</v>
      </c>
      <c r="Q3" s="11">
        <f>ROUNDUP(VLOOKUP(SinglePack12182729323538[[#This Row],[מוצר]],אריזות!A:C,2,0)/VLOOKUP(SinglePack12182729323538[[#This Row],[מוצר]],אריזות!A:C,3,0)*SinglePack12182729323538[[#This Row],[כמות]],2)</f>
        <v>3.5</v>
      </c>
      <c r="S3" s="15">
        <f>Q1+M4</f>
        <v>13.09</v>
      </c>
    </row>
    <row r="4" spans="1:20" ht="24.95" customHeight="1" thickTop="1" x14ac:dyDescent="0.3">
      <c r="A4" s="3" t="s">
        <v>145</v>
      </c>
      <c r="B4" s="3">
        <v>20</v>
      </c>
      <c r="C4" s="10" t="str">
        <f>VLOOKUP(Recipe10162530333639[[#This Row],[חומר גלם]],'חומרי גלם'!A:D,4,0)</f>
        <v>גרם</v>
      </c>
      <c r="D4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1.2</v>
      </c>
      <c r="J4" s="16">
        <v>15</v>
      </c>
      <c r="K4" s="17">
        <f>ROUNDUP(D1/J4,2)</f>
        <v>2.92</v>
      </c>
      <c r="L4" s="17" cm="1">
        <f t="array" ref="L4">ROUNDUP(Work11172628313437[עלות עבודה]/J4,2)</f>
        <v>6.67</v>
      </c>
      <c r="M4" s="8">
        <f>L4+K4</f>
        <v>9.59</v>
      </c>
    </row>
    <row r="5" spans="1:20" ht="24.95" customHeight="1" x14ac:dyDescent="0.3">
      <c r="A5" s="3" t="s">
        <v>73</v>
      </c>
      <c r="B5" s="3">
        <v>20</v>
      </c>
      <c r="C5" s="10" t="str">
        <f>VLOOKUP(Recipe10162530333639[[#This Row],[חומר גלם]],'חומרי גלם'!A:D,4,0)</f>
        <v>גרם</v>
      </c>
      <c r="D5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0.9</v>
      </c>
    </row>
    <row r="6" spans="1:20" ht="24.95" customHeight="1" x14ac:dyDescent="0.3">
      <c r="A6" s="3" t="s">
        <v>118</v>
      </c>
      <c r="B6" s="3">
        <v>100</v>
      </c>
      <c r="C6" s="10" t="str">
        <f>VLOOKUP(Recipe10162530333639[[#This Row],[חומר גלם]],'חומרי גלם'!A:D,4,0)</f>
        <v>גרם</v>
      </c>
      <c r="D6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3.75</v>
      </c>
    </row>
    <row r="7" spans="1:20" ht="24.95" customHeight="1" x14ac:dyDescent="0.3">
      <c r="A7" s="3" t="s">
        <v>63</v>
      </c>
      <c r="B7" s="3">
        <v>20</v>
      </c>
      <c r="C7" s="10" t="str">
        <f>VLOOKUP(Recipe10162530333639[[#This Row],[חומר גלם]],'חומרי גלם'!A:D,4,0)</f>
        <v>מיליליטר</v>
      </c>
      <c r="D7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0.3</v>
      </c>
    </row>
    <row r="8" spans="1:20" ht="24.95" customHeight="1" x14ac:dyDescent="0.3">
      <c r="A8" s="3" t="s">
        <v>119</v>
      </c>
      <c r="B8" s="3">
        <v>30</v>
      </c>
      <c r="C8" s="10" t="str">
        <f>VLOOKUP(Recipe10162530333639[[#This Row],[חומר גלם]],'חומרי גלם'!A:D,4,0)</f>
        <v>גרם</v>
      </c>
      <c r="D8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1.1300000000000001</v>
      </c>
    </row>
    <row r="9" spans="1:20" ht="24.95" customHeight="1" x14ac:dyDescent="0.3">
      <c r="A9" s="3" t="s">
        <v>214</v>
      </c>
      <c r="B9" s="3">
        <v>1</v>
      </c>
      <c r="C9" s="10" t="str">
        <f>VLOOKUP(Recipe10162530333639[[#This Row],[חומר גלם]],'חומרי גלם'!A:D,4,0)</f>
        <v>יחידות</v>
      </c>
      <c r="D9" s="11">
        <f>ROUNDUP(Recipe10162530333639[[#This Row],[כמות במתכון]]*VLOOKUP(Recipe10162530333639[[#This Row],[חומר גלם]],'חומרי גלם'!A:D,2,0)/VLOOKUP(Recipe10162530333639[[#This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BB4A55B1-57CC-4250-953C-22CCB0931A2F}">
      <formula1>INDIRECT("Packages[מוצר]")</formula1>
    </dataValidation>
    <dataValidation type="list" allowBlank="1" showInputMessage="1" showErrorMessage="1" sqref="A3:A9" xr:uid="{5F95BFB4-9028-456C-B684-FE935A8E87A2}">
      <formula1>INDIRECT("Ingredients[חומר גלם]")</formula1>
    </dataValidation>
  </dataValidations>
  <hyperlinks>
    <hyperlink ref="T1" location="ראשי!A1" display="חזרה לתפריט" xr:uid="{DB402739-00D4-49B3-95B2-00C07DCB4432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DA2F-3368-4E42-AC7E-287C78481EF4}">
  <sheetPr>
    <tabColor theme="9"/>
  </sheetPr>
  <dimension ref="A1:T11"/>
  <sheetViews>
    <sheetView rightToLeft="1" workbookViewId="0">
      <selection activeCell="B12" sqref="B12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ROUNDUP(SUM(Recipe1016253033363942[עלות למתכון]),2)</f>
        <v>33.799999999999997</v>
      </c>
      <c r="F1" s="5" t="s">
        <v>9</v>
      </c>
      <c r="J1" s="5" t="s">
        <v>21</v>
      </c>
      <c r="O1" s="5" t="s">
        <v>20</v>
      </c>
      <c r="Q1" s="8">
        <f>SUM(SinglePack1218272932353841[עלות])</f>
        <v>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63</v>
      </c>
      <c r="B3" s="3">
        <v>100</v>
      </c>
      <c r="C3" s="10" t="str">
        <f>VLOOKUP(Recipe1016253033363942[[#This Row],[חומר גלם]],'חומרי גלם'!A:D,4,0)</f>
        <v>מיליליטר</v>
      </c>
      <c r="D3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1.49</v>
      </c>
      <c r="F3" s="3">
        <v>1</v>
      </c>
      <c r="G3" s="3">
        <v>100</v>
      </c>
      <c r="H3" s="10">
        <f>Work1117262831343740[[#This Row],[עלות לשעת עבודה]]*Work1117262831343740[[#This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109</v>
      </c>
      <c r="P3" s="3">
        <v>1</v>
      </c>
      <c r="Q3" s="11">
        <f>ROUNDUP(VLOOKUP(SinglePack1218272932353841[[#This Row],[מוצר]],אריזות!A:C,2,0)/VLOOKUP(SinglePack1218272932353841[[#This Row],[מוצר]],אריזות!A:C,3,0)*SinglePack1218272932353841[[#This Row],[כמות]],2)</f>
        <v>5</v>
      </c>
      <c r="S3" s="15">
        <f>Q1+M4</f>
        <v>9.6199999999999992</v>
      </c>
    </row>
    <row r="4" spans="1:20" ht="24.95" customHeight="1" thickTop="1" x14ac:dyDescent="0.3">
      <c r="A4" s="3" t="s">
        <v>97</v>
      </c>
      <c r="B4" s="3">
        <v>3</v>
      </c>
      <c r="C4" s="10" t="str">
        <f>VLOOKUP(Recipe1016253033363942[[#This Row],[חומר גלם]],'חומרי גלם'!A:D,4,0)</f>
        <v>יחידות</v>
      </c>
      <c r="D4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3.23</v>
      </c>
      <c r="J4" s="16">
        <v>29</v>
      </c>
      <c r="K4" s="17">
        <f>ROUNDUP(D1/J4,2)</f>
        <v>1.17</v>
      </c>
      <c r="L4" s="17" cm="1">
        <f t="array" ref="L4">ROUNDUP(Work1117262831343740[עלות עבודה]/J4,2)</f>
        <v>3.4499999999999997</v>
      </c>
      <c r="M4" s="8">
        <f>L4+K4</f>
        <v>4.6199999999999992</v>
      </c>
    </row>
    <row r="5" spans="1:20" ht="24.95" customHeight="1" x14ac:dyDescent="0.3">
      <c r="A5" s="3" t="s">
        <v>48</v>
      </c>
      <c r="B5" s="3">
        <v>200</v>
      </c>
      <c r="C5" s="10" t="str">
        <f>VLOOKUP(Recipe1016253033363942[[#This Row],[חומר גלם]],'חומרי גלם'!A:D,4,0)</f>
        <v>גרם</v>
      </c>
      <c r="D5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1.04</v>
      </c>
    </row>
    <row r="6" spans="1:20" ht="24.95" customHeight="1" x14ac:dyDescent="0.3">
      <c r="A6" s="3" t="s">
        <v>50</v>
      </c>
      <c r="B6" s="3">
        <v>100</v>
      </c>
      <c r="C6" s="10" t="str">
        <f>VLOOKUP(Recipe1016253033363942[[#This Row],[חומר גלם]],'חומרי גלם'!A:D,4,0)</f>
        <v>גרם</v>
      </c>
      <c r="D6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1.29</v>
      </c>
    </row>
    <row r="7" spans="1:20" ht="24.95" customHeight="1" x14ac:dyDescent="0.3">
      <c r="A7" s="3" t="s">
        <v>54</v>
      </c>
      <c r="B7" s="3">
        <v>105</v>
      </c>
      <c r="C7" s="10" t="str">
        <f>VLOOKUP(Recipe1016253033363942[[#This Row],[חומר גלם]],'חומרי גלם'!A:D,4,0)</f>
        <v>גרם</v>
      </c>
      <c r="D7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4.5699999999999994</v>
      </c>
    </row>
    <row r="8" spans="1:20" ht="24.95" customHeight="1" x14ac:dyDescent="0.3">
      <c r="A8" s="3" t="s">
        <v>43</v>
      </c>
      <c r="B8" s="3">
        <v>280</v>
      </c>
      <c r="C8" s="10" t="str">
        <f>VLOOKUP(Recipe1016253033363942[[#This Row],[חומר גלם]],'חומרי גלם'!A:D,4,0)</f>
        <v>גרם</v>
      </c>
      <c r="D8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2.4099999999999997</v>
      </c>
    </row>
    <row r="9" spans="1:20" ht="24.95" customHeight="1" x14ac:dyDescent="0.3">
      <c r="A9" s="3" t="s">
        <v>56</v>
      </c>
      <c r="B9" s="3">
        <v>10</v>
      </c>
      <c r="C9" s="10" t="str">
        <f>VLOOKUP(Recipe1016253033363942[[#This Row],[חומר גלם]],'חומרי גלם'!A:D,4,0)</f>
        <v>גרם</v>
      </c>
      <c r="D9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0.19</v>
      </c>
    </row>
    <row r="10" spans="1:20" ht="24.95" customHeight="1" x14ac:dyDescent="0.3">
      <c r="A10" s="3" t="s">
        <v>65</v>
      </c>
      <c r="B10" s="3">
        <v>100</v>
      </c>
      <c r="C10" s="10" t="str">
        <f>VLOOKUP(Recipe1016253033363942[[#This Row],[חומר גלם]],'חומרי גלם'!A:D,4,0)</f>
        <v>גרם</v>
      </c>
      <c r="D10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4.58</v>
      </c>
    </row>
    <row r="11" spans="1:20" ht="24.95" customHeight="1" x14ac:dyDescent="0.3">
      <c r="A11" s="3" t="s">
        <v>214</v>
      </c>
      <c r="B11" s="3">
        <v>1</v>
      </c>
      <c r="C11" s="10" t="str">
        <f>VLOOKUP(Recipe1016253033363942[[#This Row],[חומר גלם]],'חומרי גלם'!A:D,4,0)</f>
        <v>יחידות</v>
      </c>
      <c r="D11" s="11">
        <f>ROUNDUP(Recipe1016253033363942[[#This Row],[כמות במתכון]]*VLOOKUP(Recipe1016253033363942[[#This Row],[חומר גלם]],'חומרי גלם'!A:D,2,0)/VLOOKUP(Recipe1016253033363942[[#This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1" xr:uid="{5B194FEF-670C-457A-9961-2367C5DB5BD9}">
      <formula1>INDIRECT("Ingredients[חומר גלם]")</formula1>
    </dataValidation>
    <dataValidation type="list" allowBlank="1" showInputMessage="1" showErrorMessage="1" sqref="O3" xr:uid="{796F6BF6-DDA9-44BD-BA66-A859FCEE15BD}">
      <formula1>INDIRECT("Packages[מוצר]")</formula1>
    </dataValidation>
  </dataValidations>
  <hyperlinks>
    <hyperlink ref="T1" location="ראשי!A1" display="חזרה לתפריט" xr:uid="{59BED702-B41E-4898-994B-AC9F85CC017E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639B7-E512-4B28-9342-52BD11B5F24E}">
  <sheetPr>
    <tabColor theme="9"/>
  </sheetPr>
  <dimension ref="A1:T11"/>
  <sheetViews>
    <sheetView rightToLeft="1" workbookViewId="0">
      <selection activeCell="B12" sqref="B12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ROUNDUP(SUM(Recipe101625303336394245[עלות למתכון]),2)</f>
        <v>67.069999999999993</v>
      </c>
      <c r="F1" s="5" t="s">
        <v>9</v>
      </c>
      <c r="J1" s="5" t="s">
        <v>21</v>
      </c>
      <c r="O1" s="5" t="s">
        <v>20</v>
      </c>
      <c r="Q1" s="8">
        <f>SUM(SinglePack121827293235384144[עלות])</f>
        <v>4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250</v>
      </c>
      <c r="C3" s="10" t="str">
        <f>VLOOKUP(Recipe101625303336394245[[#This Row],[חומר גלם]],'חומרי גלם'!A:D,4,0)</f>
        <v>גרם</v>
      </c>
      <c r="D3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5.75</v>
      </c>
      <c r="F3" s="3">
        <v>1</v>
      </c>
      <c r="G3" s="3">
        <v>100</v>
      </c>
      <c r="H3" s="10">
        <f>Work111726283134374043[[#This Row],[עלות לשעת עבודה]]*Work111726283134374043[[#This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101</v>
      </c>
      <c r="P3" s="3">
        <v>1</v>
      </c>
      <c r="Q3" s="11">
        <f>ROUNDUP(VLOOKUP(SinglePack121827293235384144[[#This Row],[מוצר]],אריזות!A:C,2,0)/VLOOKUP(SinglePack121827293235384144[[#This Row],[מוצר]],אריזות!A:C,3,0)*SinglePack121827293235384144[[#This Row],[כמות]],2)</f>
        <v>4</v>
      </c>
      <c r="S3" s="15">
        <f>Q1+M4</f>
        <v>171.07</v>
      </c>
    </row>
    <row r="4" spans="1:20" ht="24.95" customHeight="1" thickTop="1" x14ac:dyDescent="0.3">
      <c r="A4" s="3" t="s">
        <v>66</v>
      </c>
      <c r="B4" s="3">
        <v>200</v>
      </c>
      <c r="C4" s="10" t="str">
        <f>VLOOKUP(Recipe101625303336394245[[#This Row],[חומר גלם]],'חומרי גלם'!A:D,4,0)</f>
        <v>מיליליטר</v>
      </c>
      <c r="D4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1.37</v>
      </c>
      <c r="J4" s="16">
        <v>1</v>
      </c>
      <c r="K4" s="17">
        <f>ROUNDUP(D1/J4,2)</f>
        <v>67.069999999999993</v>
      </c>
      <c r="L4" s="17" cm="1">
        <f t="array" ref="L4">ROUNDUP(Work111726283134374043[עלות עבודה]/J4,2)</f>
        <v>100</v>
      </c>
      <c r="M4" s="8">
        <f>L4+K4</f>
        <v>167.07</v>
      </c>
    </row>
    <row r="5" spans="1:20" ht="24.95" customHeight="1" x14ac:dyDescent="0.3">
      <c r="A5" s="3" t="s">
        <v>35</v>
      </c>
      <c r="B5" s="3">
        <v>815</v>
      </c>
      <c r="C5" s="10" t="str">
        <f>VLOOKUP(Recipe101625303336394245[[#This Row],[חומר גלם]],'חומרי גלם'!A:D,4,0)</f>
        <v>גרם</v>
      </c>
      <c r="D5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23.05</v>
      </c>
    </row>
    <row r="6" spans="1:20" ht="24.95" customHeight="1" x14ac:dyDescent="0.3">
      <c r="A6" s="3" t="s">
        <v>62</v>
      </c>
      <c r="B6" s="3">
        <v>80</v>
      </c>
      <c r="C6" s="10" t="str">
        <f>VLOOKUP(Recipe101625303336394245[[#This Row],[חומר גלם]],'חומרי גלם'!A:D,4,0)</f>
        <v>גרם</v>
      </c>
      <c r="D6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1.6</v>
      </c>
    </row>
    <row r="7" spans="1:20" ht="24.95" customHeight="1" x14ac:dyDescent="0.3">
      <c r="A7" s="3" t="s">
        <v>58</v>
      </c>
      <c r="B7" s="3">
        <v>50</v>
      </c>
      <c r="C7" s="10" t="str">
        <f>VLOOKUP(Recipe101625303336394245[[#This Row],[חומר גלם]],'חומרי גלם'!A:D,4,0)</f>
        <v>גרם</v>
      </c>
      <c r="D7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0.5</v>
      </c>
    </row>
    <row r="8" spans="1:20" ht="24.95" customHeight="1" x14ac:dyDescent="0.3">
      <c r="A8" s="3" t="s">
        <v>145</v>
      </c>
      <c r="B8" s="3">
        <v>85</v>
      </c>
      <c r="C8" s="10" t="str">
        <f>VLOOKUP(Recipe101625303336394245[[#This Row],[חומר גלם]],'חומרי גלם'!A:D,4,0)</f>
        <v>גרם</v>
      </c>
      <c r="D8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5.0999999999999996</v>
      </c>
    </row>
    <row r="9" spans="1:20" ht="24.95" customHeight="1" x14ac:dyDescent="0.3">
      <c r="A9" s="3" t="s">
        <v>119</v>
      </c>
      <c r="B9" s="3">
        <v>280</v>
      </c>
      <c r="C9" s="10" t="str">
        <f>VLOOKUP(Recipe101625303336394245[[#This Row],[חומר גלם]],'חומרי גלם'!A:D,4,0)</f>
        <v>גרם</v>
      </c>
      <c r="D9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10.5</v>
      </c>
    </row>
    <row r="10" spans="1:20" ht="24.95" customHeight="1" x14ac:dyDescent="0.3">
      <c r="A10" s="3" t="s">
        <v>164</v>
      </c>
      <c r="B10" s="3">
        <v>30</v>
      </c>
      <c r="C10" s="10" t="str">
        <f>VLOOKUP(Recipe101625303336394245[[#This Row],[חומר גלם]],'חומרי גלם'!A:D,4,0)</f>
        <v>גרם</v>
      </c>
      <c r="D10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4.2</v>
      </c>
    </row>
    <row r="11" spans="1:20" ht="24.95" customHeight="1" x14ac:dyDescent="0.3">
      <c r="A11" s="3" t="s">
        <v>214</v>
      </c>
      <c r="B11" s="3">
        <v>1</v>
      </c>
      <c r="C11" s="10" t="str">
        <f>VLOOKUP(Recipe101625303336394245[[#This Row],[חומר גלם]],'חומרי גלם'!A:D,4,0)</f>
        <v>יחידות</v>
      </c>
      <c r="D11" s="11">
        <f>ROUNDUP(Recipe101625303336394245[[#This Row],[כמות במתכון]]*VLOOKUP(Recipe101625303336394245[[#This Row],[חומר גלם]],'חומרי גלם'!A:D,2,0)/VLOOKUP(Recipe101625303336394245[[#This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F3480500-5391-4C7B-BE40-9231082CD80B}">
      <formula1>INDIRECT("Packages[מוצר]")</formula1>
    </dataValidation>
    <dataValidation type="list" allowBlank="1" showInputMessage="1" showErrorMessage="1" sqref="A3:A11" xr:uid="{81F957A5-37C5-401E-9E92-2DC09D77AD6D}">
      <formula1>INDIRECT("Ingredients[חומר גלם]")</formula1>
    </dataValidation>
  </dataValidations>
  <hyperlinks>
    <hyperlink ref="T1" location="ראשי!A1" display="חזרה לתפריט" xr:uid="{83F3DE11-EED0-445B-A299-A9C48BDCF449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4CC8C2-DB26-4EBC-A2EE-DF521C072575}">
  <sheetPr>
    <tabColor theme="9"/>
  </sheetPr>
  <dimension ref="A1:T9"/>
  <sheetViews>
    <sheetView rightToLeft="1" workbookViewId="0">
      <selection activeCell="B10" sqref="B10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ROUNDUP(SUM(Recipe10162530333639424548[עלות למתכון]),2)</f>
        <v>29.71</v>
      </c>
      <c r="F1" s="5" t="s">
        <v>9</v>
      </c>
      <c r="J1" s="5" t="s">
        <v>21</v>
      </c>
      <c r="O1" s="5" t="s">
        <v>20</v>
      </c>
      <c r="Q1" s="8">
        <f>SUM(SinglePack12182729323538414447[עלות])</f>
        <v>4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146</v>
      </c>
      <c r="B3" s="3">
        <v>200</v>
      </c>
      <c r="C3" s="10" t="str">
        <f>VLOOKUP(Recipe10162530333639424548[[#This Row],[חומר גלם]],'חומרי גלם'!A:D,4,0)</f>
        <v>גרם</v>
      </c>
      <c r="D3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4.5999999999999996</v>
      </c>
      <c r="F3" s="3">
        <v>0.4</v>
      </c>
      <c r="G3" s="3">
        <v>100</v>
      </c>
      <c r="H3" s="10">
        <f>Work11172628313437404346[[#This Row],[עלות לשעת עבודה]]*Work11172628313437404346[[#This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101</v>
      </c>
      <c r="P3" s="3">
        <v>1</v>
      </c>
      <c r="Q3" s="11">
        <f>ROUNDUP(VLOOKUP(SinglePack12182729323538414447[[#This Row],[מוצר]],אריזות!A:C,2,0)/VLOOKUP(SinglePack12182729323538414447[[#This Row],[מוצר]],אריזות!A:C,3,0)*SinglePack12182729323538414447[[#This Row],[כמות]],2)</f>
        <v>4</v>
      </c>
      <c r="S3" s="15">
        <f>Q1+M4</f>
        <v>73.710000000000008</v>
      </c>
    </row>
    <row r="4" spans="1:20" ht="24.95" customHeight="1" thickTop="1" x14ac:dyDescent="0.3">
      <c r="A4" s="3" t="s">
        <v>119</v>
      </c>
      <c r="B4" s="3">
        <v>350</v>
      </c>
      <c r="C4" s="10" t="str">
        <f>VLOOKUP(Recipe10162530333639424548[[#This Row],[חומר גלם]],'חומרי גלם'!A:D,4,0)</f>
        <v>גרם</v>
      </c>
      <c r="D4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13.129999999999999</v>
      </c>
      <c r="J4" s="16">
        <v>1</v>
      </c>
      <c r="K4" s="17">
        <f>ROUNDUP(D1/J4,2)</f>
        <v>29.71</v>
      </c>
      <c r="L4" s="17" cm="1">
        <f t="array" ref="L4">ROUNDUP(Work11172628313437404346[עלות עבודה]/J4,2)</f>
        <v>40</v>
      </c>
      <c r="M4" s="8">
        <f>L4+K4</f>
        <v>69.710000000000008</v>
      </c>
    </row>
    <row r="5" spans="1:20" ht="24.95" customHeight="1" x14ac:dyDescent="0.3">
      <c r="A5" s="3" t="s">
        <v>73</v>
      </c>
      <c r="B5" s="3">
        <v>30</v>
      </c>
      <c r="C5" s="10" t="str">
        <f>VLOOKUP(Recipe10162530333639424548[[#This Row],[חומר גלם]],'חומרי גלם'!A:D,4,0)</f>
        <v>גרם</v>
      </c>
      <c r="D5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1.35</v>
      </c>
    </row>
    <row r="6" spans="1:20" ht="24.95" customHeight="1" x14ac:dyDescent="0.3">
      <c r="A6" s="3" t="s">
        <v>35</v>
      </c>
      <c r="B6" s="3">
        <v>60</v>
      </c>
      <c r="C6" s="10" t="str">
        <f>VLOOKUP(Recipe10162530333639424548[[#This Row],[חומר גלם]],'חומרי גלם'!A:D,4,0)</f>
        <v>גרם</v>
      </c>
      <c r="D6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1.7</v>
      </c>
    </row>
    <row r="7" spans="1:20" ht="24.95" customHeight="1" x14ac:dyDescent="0.3">
      <c r="A7" s="3" t="s">
        <v>63</v>
      </c>
      <c r="B7" s="3">
        <v>20</v>
      </c>
      <c r="C7" s="10" t="str">
        <f>VLOOKUP(Recipe10162530333639424548[[#This Row],[חומר גלם]],'חומרי גלם'!A:D,4,0)</f>
        <v>מיליליטר</v>
      </c>
      <c r="D7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0.3</v>
      </c>
    </row>
    <row r="8" spans="1:20" ht="24.95" customHeight="1" x14ac:dyDescent="0.3">
      <c r="A8" s="3" t="s">
        <v>118</v>
      </c>
      <c r="B8" s="3">
        <v>30</v>
      </c>
      <c r="C8" s="10" t="str">
        <f>VLOOKUP(Recipe10162530333639424548[[#This Row],[חומר גלם]],'חומרי גלם'!A:D,4,0)</f>
        <v>גרם</v>
      </c>
      <c r="D8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1.1300000000000001</v>
      </c>
    </row>
    <row r="9" spans="1:20" ht="24.95" customHeight="1" x14ac:dyDescent="0.3">
      <c r="A9" s="3" t="s">
        <v>214</v>
      </c>
      <c r="B9" s="3">
        <v>0.5</v>
      </c>
      <c r="C9" s="10" t="str">
        <f>VLOOKUP(Recipe10162530333639424548[[#This Row],[חומר גלם]],'חומרי גלם'!A:D,4,0)</f>
        <v>יחידות</v>
      </c>
      <c r="D9" s="11">
        <f>ROUNDUP(Recipe10162530333639424548[[#This Row],[כמות במתכון]]*VLOOKUP(Recipe10162530333639424548[[#This Row],[חומר גלם]],'חומרי גלם'!A:D,2,0)/VLOOKUP(Recipe10162530333639424548[[#This Row],[חומר גלם]],'חומרי גלם'!A:D,3,0),2)</f>
        <v>7.5</v>
      </c>
    </row>
  </sheetData>
  <mergeCells count="2">
    <mergeCell ref="J2:J3"/>
    <mergeCell ref="K2:M2"/>
  </mergeCells>
  <dataValidations count="2">
    <dataValidation type="list" allowBlank="1" showInputMessage="1" showErrorMessage="1" sqref="O3" xr:uid="{0B58EDEE-F052-4451-AB0C-DA92FD8BCF07}">
      <formula1>INDIRECT("Packages[מוצר]")</formula1>
    </dataValidation>
    <dataValidation type="list" allowBlank="1" showInputMessage="1" showErrorMessage="1" sqref="A3:A9" xr:uid="{4706444A-20E0-42E7-AD58-642CB02A5B26}">
      <formula1>INDIRECT("Ingredients[חומר גלם]")</formula1>
    </dataValidation>
  </dataValidations>
  <hyperlinks>
    <hyperlink ref="T1" location="ראשי!A1" display="חזרה לתפריט" xr:uid="{96B06385-6DAF-4862-BCED-B20CFC190BB5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A1F26-2B92-470A-A5A7-1FD6AC171A43}">
  <sheetPr>
    <tabColor theme="9"/>
  </sheetPr>
  <dimension ref="A1:T13"/>
  <sheetViews>
    <sheetView rightToLeft="1" workbookViewId="0">
      <selection activeCell="B14" sqref="B14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ROUNDUP(SUM(Recipe1016192249[עלות למתכון]),2)</f>
        <v>57.74</v>
      </c>
      <c r="F1" s="5" t="s">
        <v>9</v>
      </c>
      <c r="J1" s="5" t="s">
        <v>21</v>
      </c>
      <c r="O1" s="5" t="s">
        <v>20</v>
      </c>
      <c r="Q1" s="8">
        <f>SUM(SinglePack1218212451[עלות])</f>
        <v>3.55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73</v>
      </c>
      <c r="B3" s="3">
        <v>100</v>
      </c>
      <c r="C3" s="10" t="str">
        <f>VLOOKUP(Recipe1016192249[[#This Row],[חומר גלם]],'חומרי גלם'!A:D,4,0)</f>
        <v>גרם</v>
      </c>
      <c r="D3" s="11">
        <f>ROUNDUP(Recipe1016192249[[#This Row],[כמות במתכון]]*VLOOKUP(Recipe1016192249[[#This Row],[חומר גלם]],'חומרי גלם'!A:D,2,0)/VLOOKUP(Recipe1016192249[[#This Row],[חומר גלם]],'חומרי גלם'!A:D,3,0),2)</f>
        <v>4.5</v>
      </c>
      <c r="F3" s="3">
        <v>1</v>
      </c>
      <c r="G3" s="3">
        <v>100</v>
      </c>
      <c r="H3" s="10">
        <f>Work1117202350[[#This Row],[עלות לשעת עבודה]]*Work1117202350[[#This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105</v>
      </c>
      <c r="P3" s="3">
        <v>1</v>
      </c>
      <c r="Q3" s="11">
        <f>ROUNDUP(VLOOKUP(SinglePack1218212451[[#This Row],[מוצר]],אריזות!A:C,2,0)/VLOOKUP(SinglePack1218212451[[#This Row],[מוצר]],אריזות!A:C,3,0)*SinglePack1218212451[[#This Row],[כמות]],2)</f>
        <v>3.25</v>
      </c>
      <c r="S3" s="15">
        <f>Q1+M4</f>
        <v>7.5</v>
      </c>
    </row>
    <row r="4" spans="1:20" ht="24.95" customHeight="1" thickTop="1" x14ac:dyDescent="0.3">
      <c r="A4" s="3" t="s">
        <v>98</v>
      </c>
      <c r="B4" s="3">
        <v>2</v>
      </c>
      <c r="C4" s="10" t="str">
        <f>VLOOKUP(Recipe1016192249[[#This Row],[חומר גלם]],'חומרי גלם'!A:D,4,0)</f>
        <v>יחידות</v>
      </c>
      <c r="D4" s="11">
        <f>ROUNDUP(Recipe1016192249[[#This Row],[כמות במתכון]]*VLOOKUP(Recipe1016192249[[#This Row],[חומר גלם]],'חומרי גלם'!A:D,2,0)/VLOOKUP(Recipe1016192249[[#This Row],[חומר גלם]],'חומרי גלם'!A:D,3,0),2)</f>
        <v>2.3299999999999996</v>
      </c>
      <c r="J4" s="16">
        <v>40</v>
      </c>
      <c r="K4" s="17">
        <f>ROUNDUP(D1/J4,2)</f>
        <v>1.45</v>
      </c>
      <c r="L4" s="17" cm="1">
        <f t="array" ref="L4">ROUNDUP(Work1117202350[עלות עבודה]/J4,2)</f>
        <v>2.5</v>
      </c>
      <c r="M4" s="8">
        <f>L4+K4</f>
        <v>3.95</v>
      </c>
      <c r="O4" s="3" t="s">
        <v>125</v>
      </c>
      <c r="P4" s="3">
        <v>1</v>
      </c>
      <c r="Q4" s="11">
        <f>ROUNDUP(VLOOKUP(SinglePack1218212451[[#This Row],[מוצר]],אריזות!A:C,2,0)/VLOOKUP(SinglePack1218212451[[#This Row],[מוצר]],אריזות!A:C,3,0)*SinglePack1218212451[[#This Row],[כמות]],2)</f>
        <v>0.3</v>
      </c>
    </row>
    <row r="5" spans="1:20" ht="24.95" customHeight="1" x14ac:dyDescent="0.3">
      <c r="A5" s="3" t="s">
        <v>48</v>
      </c>
      <c r="B5" s="3">
        <v>100</v>
      </c>
      <c r="C5" s="10" t="str">
        <f>VLOOKUP(Recipe1016192249[[#This Row],[חומר גלם]],'חומרי גלם'!A:D,4,0)</f>
        <v>גרם</v>
      </c>
      <c r="D5" s="11">
        <f>ROUNDUP(Recipe1016192249[[#This Row],[כמות במתכון]]*VLOOKUP(Recipe1016192249[[#This Row],[חומר גלם]],'חומרי גלם'!A:D,2,0)/VLOOKUP(Recipe1016192249[[#This Row],[חומר גלם]],'חומרי גלם'!A:D,3,0),2)</f>
        <v>0.52</v>
      </c>
    </row>
    <row r="6" spans="1:20" ht="24.95" customHeight="1" x14ac:dyDescent="0.3">
      <c r="A6" s="3" t="s">
        <v>66</v>
      </c>
      <c r="B6" s="3">
        <v>280</v>
      </c>
      <c r="C6" s="10" t="str">
        <f>VLOOKUP(Recipe1016192249[[#This Row],[חומר גלם]],'חומרי גלם'!A:D,4,0)</f>
        <v>מיליליטר</v>
      </c>
      <c r="D6" s="11">
        <f>ROUNDUP(Recipe1016192249[[#This Row],[כמות במתכון]]*VLOOKUP(Recipe1016192249[[#This Row],[חומר גלם]],'חומרי גלם'!A:D,2,0)/VLOOKUP(Recipe1016192249[[#This Row],[חומר גלם]],'חומרי גלם'!A:D,3,0),2)</f>
        <v>1.91</v>
      </c>
    </row>
    <row r="7" spans="1:20" ht="24.95" customHeight="1" x14ac:dyDescent="0.3">
      <c r="A7" s="3" t="s">
        <v>123</v>
      </c>
      <c r="B7" s="3">
        <v>15</v>
      </c>
      <c r="C7" s="10" t="str">
        <f>VLOOKUP(Recipe1016192249[[#This Row],[חומר גלם]],'חומרי גלם'!A:D,4,0)</f>
        <v>גרם</v>
      </c>
      <c r="D7" s="11">
        <f>ROUNDUP(Recipe1016192249[[#This Row],[כמות במתכון]]*VLOOKUP(Recipe1016192249[[#This Row],[חומר גלם]],'חומרי גלם'!A:D,2,0)/VLOOKUP(Recipe1016192249[[#This Row],[חומר גלם]],'חומרי גלם'!A:D,3,0),2)</f>
        <v>16.130000000000003</v>
      </c>
    </row>
    <row r="8" spans="1:20" ht="24.95" customHeight="1" x14ac:dyDescent="0.3">
      <c r="A8" s="3" t="s">
        <v>52</v>
      </c>
      <c r="B8" s="3">
        <v>0.5</v>
      </c>
      <c r="C8" s="10" t="str">
        <f>VLOOKUP(Recipe1016192249[[#This Row],[חומר גלם]],'חומרי גלם'!A:D,4,0)</f>
        <v>גרם</v>
      </c>
      <c r="D8" s="11">
        <f>ROUNDUP(Recipe1016192249[[#This Row],[כמות במתכון]]*VLOOKUP(Recipe1016192249[[#This Row],[חומר גלם]],'חומרי גלם'!A:D,2,0)/VLOOKUP(Recipe1016192249[[#This Row],[חומר גלם]],'חומרי גלם'!A:D,3,0),2)</f>
        <v>0.01</v>
      </c>
    </row>
    <row r="9" spans="1:20" ht="24.95" customHeight="1" x14ac:dyDescent="0.3">
      <c r="A9" s="3" t="s">
        <v>43</v>
      </c>
      <c r="B9" s="3">
        <v>320</v>
      </c>
      <c r="C9" s="10" t="str">
        <f>VLOOKUP(Recipe1016192249[[#This Row],[חומר גלם]],'חומרי גלם'!A:D,4,0)</f>
        <v>גרם</v>
      </c>
      <c r="D9" s="11">
        <f>ROUNDUP(Recipe1016192249[[#This Row],[כמות במתכון]]*VLOOKUP(Recipe1016192249[[#This Row],[חומר גלם]],'חומרי גלם'!A:D,2,0)/VLOOKUP(Recipe1016192249[[#This Row],[חומר גלם]],'חומרי גלם'!A:D,3,0),2)</f>
        <v>2.76</v>
      </c>
    </row>
    <row r="10" spans="1:20" ht="24.95" customHeight="1" x14ac:dyDescent="0.3">
      <c r="A10" s="3" t="s">
        <v>56</v>
      </c>
      <c r="B10" s="3">
        <v>10</v>
      </c>
      <c r="C10" s="10" t="str">
        <f>VLOOKUP(Recipe1016192249[[#This Row],[חומר גלם]],'חומרי גלם'!A:D,4,0)</f>
        <v>גרם</v>
      </c>
      <c r="D10" s="11">
        <f>ROUNDUP(Recipe1016192249[[#This Row],[כמות במתכון]]*VLOOKUP(Recipe1016192249[[#This Row],[חומר גלם]],'חומרי גלם'!A:D,2,0)/VLOOKUP(Recipe1016192249[[#This Row],[חומר גלם]],'חומרי גלם'!A:D,3,0),2)</f>
        <v>0.19</v>
      </c>
    </row>
    <row r="11" spans="1:20" ht="24.95" customHeight="1" x14ac:dyDescent="0.3">
      <c r="A11" s="3" t="s">
        <v>118</v>
      </c>
      <c r="B11" s="3">
        <v>300</v>
      </c>
      <c r="C11" s="10" t="str">
        <f>VLOOKUP(Recipe1016192249[[#This Row],[חומר גלם]],'חומרי גלם'!A:D,4,0)</f>
        <v>גרם</v>
      </c>
      <c r="D11" s="11">
        <f>ROUNDUP(Recipe1016192249[[#This Row],[כמות במתכון]]*VLOOKUP(Recipe1016192249[[#This Row],[חומר גלם]],'חומרי גלם'!A:D,2,0)/VLOOKUP(Recipe1016192249[[#This Row],[חומר גלם]],'חומרי גלם'!A:D,3,0),2)</f>
        <v>11.25</v>
      </c>
    </row>
    <row r="12" spans="1:20" ht="24.95" customHeight="1" x14ac:dyDescent="0.3">
      <c r="A12" s="3" t="s">
        <v>161</v>
      </c>
      <c r="B12" s="3">
        <v>30</v>
      </c>
      <c r="C12" s="10" t="str">
        <f>VLOOKUP(Recipe1016192249[[#This Row],[חומר גלם]],'חומרי גלם'!A:D,4,0)</f>
        <v>גרם</v>
      </c>
      <c r="D12" s="11">
        <f>ROUNDUP(Recipe1016192249[[#This Row],[כמות במתכון]]*VLOOKUP(Recipe1016192249[[#This Row],[חומר גלם]],'חומרי גלם'!A:D,2,0)/VLOOKUP(Recipe1016192249[[#This Row],[חומר גלם]],'חומרי גלם'!A:D,3,0),2)</f>
        <v>3.1399999999999997</v>
      </c>
    </row>
    <row r="13" spans="1:20" ht="24.95" customHeight="1" x14ac:dyDescent="0.3">
      <c r="A13" s="3" t="s">
        <v>214</v>
      </c>
      <c r="B13" s="3">
        <v>1</v>
      </c>
      <c r="C13" s="10" t="str">
        <f>VLOOKUP(Recipe1016192249[[#This Row],[חומר גלם]],'חומרי גלם'!A:D,4,0)</f>
        <v>יחידות</v>
      </c>
      <c r="D13" s="11">
        <f>ROUNDUP(Recipe1016192249[[#This Row],[כמות במתכון]]*VLOOKUP(Recipe1016192249[[#This Row],[חומר גלם]],'חומרי גלם'!A:D,2,0)/VLOOKUP(Recipe1016192249[[#This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E18A9BB6-523E-40E9-8F5D-BFFAC0443B82}">
      <formula1>INDIRECT("Packages[מוצר]")</formula1>
    </dataValidation>
    <dataValidation type="list" allowBlank="1" showInputMessage="1" showErrorMessage="1" sqref="A3:A13" xr:uid="{115F22D9-2764-4DD2-B1E5-683D8990245F}">
      <formula1>INDIRECT("Ingredients[חומר גלם]")</formula1>
    </dataValidation>
  </dataValidations>
  <hyperlinks>
    <hyperlink ref="T1" location="ראשי!A1" display="חזרה לתפריט" xr:uid="{18ECF6A0-2A17-4667-88D3-48868CD16AFC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3D3D2-89A0-45C6-AAF2-8CE7378599DA}">
  <sheetPr>
    <tabColor theme="9"/>
  </sheetPr>
  <dimension ref="A1:T12"/>
  <sheetViews>
    <sheetView rightToLeft="1" workbookViewId="0">
      <selection activeCell="C12" sqref="C12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ROUNDUP(SUM(Recipe101619224952[עלות למתכון]),2)</f>
        <v>65.209999999999994</v>
      </c>
      <c r="F1" s="5" t="s">
        <v>9</v>
      </c>
      <c r="J1" s="5" t="s">
        <v>21</v>
      </c>
      <c r="O1" s="5" t="s">
        <v>20</v>
      </c>
      <c r="Q1" s="8">
        <f>SUM(SinglePack121821245154[עלות])</f>
        <v>3.55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43</v>
      </c>
      <c r="B3" s="3">
        <v>500</v>
      </c>
      <c r="C3" s="10" t="str">
        <f>VLOOKUP(Recipe101619224952[[#This Row],[חומר גלם]],'חומרי גלם'!A:D,4,0)</f>
        <v>גרם</v>
      </c>
      <c r="D3" s="11">
        <f>ROUNDUP(Recipe101619224952[[#This Row],[כמות במתכון]]*VLOOKUP(Recipe101619224952[[#This Row],[חומר גלם]],'חומרי גלם'!A:D,2,0)/VLOOKUP(Recipe101619224952[[#This Row],[חומר גלם]],'חומרי גלם'!A:D,3,0),2)</f>
        <v>4.3</v>
      </c>
      <c r="F3" s="3">
        <v>1</v>
      </c>
      <c r="G3" s="3">
        <v>100</v>
      </c>
      <c r="H3" s="10">
        <f>Work111720235053[[#This Row],[עלות לשעת עבודה]]*Work111720235053[[#This Row],[שעות עבודה]]</f>
        <v>100</v>
      </c>
      <c r="J3" s="25"/>
      <c r="K3" s="12" t="s">
        <v>14</v>
      </c>
      <c r="L3" s="13" t="s">
        <v>9</v>
      </c>
      <c r="M3" s="14" t="s">
        <v>15</v>
      </c>
      <c r="O3" s="3" t="s">
        <v>105</v>
      </c>
      <c r="P3" s="3">
        <v>1</v>
      </c>
      <c r="Q3" s="11">
        <f>ROUNDUP(VLOOKUP(SinglePack121821245154[[#This Row],[מוצר]],אריזות!A:C,2,0)/VLOOKUP(SinglePack121821245154[[#This Row],[מוצר]],אריזות!A:C,3,0)*SinglePack121821245154[[#This Row],[כמות]],2)</f>
        <v>3.25</v>
      </c>
      <c r="S3" s="15">
        <f>Q1+M4</f>
        <v>7.2299999999999995</v>
      </c>
    </row>
    <row r="4" spans="1:20" ht="24.95" customHeight="1" thickTop="1" x14ac:dyDescent="0.3">
      <c r="A4" s="3" t="s">
        <v>70</v>
      </c>
      <c r="B4" s="3">
        <v>10</v>
      </c>
      <c r="C4" s="10" t="str">
        <f>VLOOKUP(Recipe101619224952[[#This Row],[חומר גלם]],'חומרי גלם'!A:D,4,0)</f>
        <v>גרם</v>
      </c>
      <c r="D4" s="11">
        <f>ROUNDUP(Recipe101619224952[[#This Row],[כמות במתכון]]*VLOOKUP(Recipe101619224952[[#This Row],[חומר גלם]],'חומרי גלם'!A:D,2,0)/VLOOKUP(Recipe101619224952[[#This Row],[חומר גלם]],'חומרי גלם'!A:D,3,0),2)</f>
        <v>0.14000000000000001</v>
      </c>
      <c r="J4" s="16">
        <v>45</v>
      </c>
      <c r="K4" s="17">
        <f>ROUNDUP(D1/J4,2)</f>
        <v>1.45</v>
      </c>
      <c r="L4" s="17" cm="1">
        <f t="array" ref="L4">ROUNDUP(Work111720235053[עלות עבודה]/J4,2)</f>
        <v>2.23</v>
      </c>
      <c r="M4" s="8">
        <f>L4+K4</f>
        <v>3.6799999999999997</v>
      </c>
      <c r="O4" s="3" t="s">
        <v>125</v>
      </c>
      <c r="P4" s="3">
        <v>1</v>
      </c>
      <c r="Q4" s="11">
        <f>ROUNDUP(VLOOKUP(SinglePack121821245154[[#This Row],[מוצר]],אריזות!A:C,2,0)/VLOOKUP(SinglePack121821245154[[#This Row],[מוצר]],אריזות!A:C,3,0)*SinglePack121821245154[[#This Row],[כמות]],2)</f>
        <v>0.3</v>
      </c>
    </row>
    <row r="5" spans="1:20" ht="24.95" customHeight="1" x14ac:dyDescent="0.3">
      <c r="A5" s="3" t="s">
        <v>48</v>
      </c>
      <c r="B5" s="3">
        <v>250</v>
      </c>
      <c r="C5" s="10" t="str">
        <f>VLOOKUP(Recipe101619224952[[#This Row],[חומר גלם]],'חומרי גלם'!A:D,4,0)</f>
        <v>גרם</v>
      </c>
      <c r="D5" s="11">
        <f>ROUNDUP(Recipe101619224952[[#This Row],[כמות במתכון]]*VLOOKUP(Recipe101619224952[[#This Row],[חומר גלם]],'חומרי גלם'!A:D,2,0)/VLOOKUP(Recipe101619224952[[#This Row],[חומר גלם]],'חומרי גלם'!A:D,3,0),2)</f>
        <v>1.3</v>
      </c>
    </row>
    <row r="6" spans="1:20" ht="24.95" customHeight="1" x14ac:dyDescent="0.3">
      <c r="A6" s="3" t="s">
        <v>176</v>
      </c>
      <c r="B6" s="3">
        <v>5</v>
      </c>
      <c r="C6" s="10" t="str">
        <f>VLOOKUP(Recipe101619224952[[#This Row],[חומר גלם]],'חומרי גלם'!A:D,4,0)</f>
        <v>גרם</v>
      </c>
      <c r="D6" s="11">
        <f>ROUNDUP(Recipe101619224952[[#This Row],[כמות במתכון]]*VLOOKUP(Recipe101619224952[[#This Row],[חומר גלם]],'חומרי גלם'!A:D,2,0)/VLOOKUP(Recipe101619224952[[#This Row],[חומר גלם]],'חומרי גלם'!A:D,3,0),2)</f>
        <v>1.34</v>
      </c>
    </row>
    <row r="7" spans="1:20" ht="24.95" customHeight="1" x14ac:dyDescent="0.3">
      <c r="A7" s="3" t="s">
        <v>61</v>
      </c>
      <c r="B7" s="3">
        <v>250</v>
      </c>
      <c r="C7" s="10" t="str">
        <f>VLOOKUP(Recipe101619224952[[#This Row],[חומר גלם]],'חומרי גלם'!A:D,4,0)</f>
        <v>גרם</v>
      </c>
      <c r="D7" s="11">
        <f>ROUNDUP(Recipe101619224952[[#This Row],[כמות במתכון]]*VLOOKUP(Recipe101619224952[[#This Row],[חומר גלם]],'חומרי גלם'!A:D,2,0)/VLOOKUP(Recipe101619224952[[#This Row],[חומר גלם]],'חומרי גלם'!A:D,3,0),2)</f>
        <v>8.1999999999999993</v>
      </c>
    </row>
    <row r="8" spans="1:20" ht="24.95" customHeight="1" x14ac:dyDescent="0.3">
      <c r="A8" s="3" t="s">
        <v>177</v>
      </c>
      <c r="B8" s="3">
        <v>70</v>
      </c>
      <c r="C8" s="10" t="str">
        <f>VLOOKUP(Recipe101619224952[[#This Row],[חומר גלם]],'חומרי גלם'!A:D,4,0)</f>
        <v>גרם</v>
      </c>
      <c r="D8" s="11">
        <f>ROUNDUP(Recipe101619224952[[#This Row],[כמות במתכון]]*VLOOKUP(Recipe101619224952[[#This Row],[חומר גלם]],'חומרי גלם'!A:D,2,0)/VLOOKUP(Recipe101619224952[[#This Row],[חומר גלם]],'חומרי גלם'!A:D,3,0),2)</f>
        <v>2.7699999999999996</v>
      </c>
    </row>
    <row r="9" spans="1:20" ht="24.95" customHeight="1" x14ac:dyDescent="0.3">
      <c r="A9" s="3" t="s">
        <v>97</v>
      </c>
      <c r="B9" s="3">
        <v>2</v>
      </c>
      <c r="C9" s="10" t="str">
        <f>VLOOKUP(Recipe101619224952[[#This Row],[חומר גלם]],'חומרי גלם'!A:D,4,0)</f>
        <v>יחידות</v>
      </c>
      <c r="D9" s="11">
        <f>ROUNDUP(Recipe101619224952[[#This Row],[כמות במתכון]]*VLOOKUP(Recipe101619224952[[#This Row],[חומר גלם]],'חומרי גלם'!A:D,2,0)/VLOOKUP(Recipe101619224952[[#This Row],[חומר גלם]],'חומרי גלם'!A:D,3,0),2)</f>
        <v>2.15</v>
      </c>
    </row>
    <row r="10" spans="1:20" ht="24.95" customHeight="1" x14ac:dyDescent="0.3">
      <c r="A10" s="3" t="s">
        <v>52</v>
      </c>
      <c r="B10" s="3">
        <v>1.5</v>
      </c>
      <c r="C10" s="10" t="str">
        <f>VLOOKUP(Recipe101619224952[[#This Row],[חומר גלם]],'חומרי גלם'!A:D,4,0)</f>
        <v>גרם</v>
      </c>
      <c r="D10" s="11">
        <f>ROUNDUP(Recipe101619224952[[#This Row],[כמות במתכון]]*VLOOKUP(Recipe101619224952[[#This Row],[חומר גלם]],'חומרי גלם'!A:D,2,0)/VLOOKUP(Recipe101619224952[[#This Row],[חומר גלם]],'חומרי גלם'!A:D,3,0),2)</f>
        <v>0.01</v>
      </c>
    </row>
    <row r="11" spans="1:20" ht="24.95" customHeight="1" x14ac:dyDescent="0.3">
      <c r="A11" s="3" t="s">
        <v>145</v>
      </c>
      <c r="B11" s="3">
        <v>500</v>
      </c>
      <c r="C11" s="10" t="str">
        <f>VLOOKUP(Recipe101619224952[[#This Row],[חומר גלם]],'חומרי גלם'!A:D,4,0)</f>
        <v>גרם</v>
      </c>
      <c r="D11" s="11">
        <f>ROUNDUP(Recipe101619224952[[#This Row],[כמות במתכון]]*VLOOKUP(Recipe101619224952[[#This Row],[חומר גלם]],'חומרי גלם'!A:D,2,0)/VLOOKUP(Recipe101619224952[[#This Row],[חומר גלם]],'חומרי גלם'!A:D,3,0),2)</f>
        <v>30</v>
      </c>
    </row>
    <row r="12" spans="1:20" ht="24.95" customHeight="1" x14ac:dyDescent="0.3">
      <c r="A12" s="3" t="s">
        <v>214</v>
      </c>
      <c r="B12" s="3">
        <v>1</v>
      </c>
      <c r="C12" s="10" t="str">
        <f>VLOOKUP(Recipe101619224952[[#This Row],[חומר גלם]],'חומרי גלם'!A:D,4,0)</f>
        <v>יחידות</v>
      </c>
      <c r="D12" s="11">
        <f>ROUNDUP(Recipe101619224952[[#This Row],[כמות במתכון]]*VLOOKUP(Recipe101619224952[[#This Row],[חומר גלם]],'חומרי גלם'!A:D,2,0)/VLOOKUP(Recipe101619224952[[#This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A3:A12" xr:uid="{75754276-7D42-4EEE-A9CE-E3F75AA2926C}">
      <formula1>INDIRECT("Ingredients[חומר גלם]")</formula1>
    </dataValidation>
    <dataValidation type="list" allowBlank="1" showInputMessage="1" showErrorMessage="1" sqref="O3:O4" xr:uid="{613272E0-E54C-4001-9F5B-08066DD9E467}">
      <formula1>INDIRECT("Packages[מוצר]")</formula1>
    </dataValidation>
  </dataValidations>
  <hyperlinks>
    <hyperlink ref="T1" location="ראשי!A1" display="חזרה לתפריט" xr:uid="{9016780F-4FD8-4326-AC9B-682E9DEA9ECF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27216-C407-4EF2-95CA-908440DD6818}">
  <sheetPr>
    <tabColor theme="9"/>
  </sheetPr>
  <dimension ref="A1:T9"/>
  <sheetViews>
    <sheetView rightToLeft="1" workbookViewId="0">
      <selection activeCell="B5" sqref="B5"/>
    </sheetView>
  </sheetViews>
  <sheetFormatPr defaultColWidth="13.85546875" defaultRowHeight="24.95" customHeight="1" x14ac:dyDescent="0.3"/>
  <cols>
    <col min="1" max="1" width="20.42578125" style="3" bestFit="1" customWidth="1"/>
    <col min="2" max="2" width="16.85546875" style="3" bestFit="1" customWidth="1"/>
    <col min="3" max="3" width="13.85546875" style="3"/>
    <col min="4" max="4" width="13.85546875" style="7"/>
    <col min="5" max="5" width="6.140625" style="3" customWidth="1"/>
    <col min="6" max="8" width="13.85546875" style="3"/>
    <col min="9" max="9" width="6.7109375" style="3" customWidth="1"/>
    <col min="10" max="10" width="13.85546875" style="3"/>
    <col min="11" max="13" width="13.85546875" style="7"/>
    <col min="14" max="14" width="6.140625" style="3" customWidth="1"/>
    <col min="15" max="15" width="26.85546875" style="3" bestFit="1" customWidth="1"/>
    <col min="16" max="17" width="13.85546875" style="3"/>
    <col min="18" max="18" width="7.42578125" style="3" customWidth="1"/>
    <col min="19" max="16384" width="13.85546875" style="3"/>
  </cols>
  <sheetData>
    <row r="1" spans="1:20" ht="24.95" customHeight="1" thickBot="1" x14ac:dyDescent="0.35">
      <c r="A1" s="5" t="s">
        <v>8</v>
      </c>
      <c r="D1" s="6">
        <f>ROUNDUP(SUM(Recipe10161922495255[עלות למתכון]),2)</f>
        <v>35.1</v>
      </c>
      <c r="F1" s="5" t="s">
        <v>9</v>
      </c>
      <c r="J1" s="5" t="s">
        <v>21</v>
      </c>
      <c r="O1" s="5" t="s">
        <v>20</v>
      </c>
      <c r="Q1" s="8">
        <f>SUM(SinglePack12182124515457[עלות])</f>
        <v>3.55</v>
      </c>
      <c r="T1" s="4" t="s">
        <v>27</v>
      </c>
    </row>
    <row r="2" spans="1:20" ht="24.95" customHeight="1" thickBot="1" x14ac:dyDescent="0.35">
      <c r="A2" s="3" t="s">
        <v>0</v>
      </c>
      <c r="B2" s="3" t="s">
        <v>6</v>
      </c>
      <c r="C2" s="3" t="s">
        <v>3</v>
      </c>
      <c r="D2" s="7" t="s">
        <v>7</v>
      </c>
      <c r="F2" s="3" t="s">
        <v>10</v>
      </c>
      <c r="G2" s="3" t="s">
        <v>11</v>
      </c>
      <c r="H2" s="3" t="s">
        <v>12</v>
      </c>
      <c r="J2" s="24" t="s">
        <v>13</v>
      </c>
      <c r="K2" s="23" t="s">
        <v>16</v>
      </c>
      <c r="L2" s="23"/>
      <c r="M2" s="23"/>
      <c r="O2" s="3" t="s">
        <v>17</v>
      </c>
      <c r="P2" s="3" t="s">
        <v>21</v>
      </c>
      <c r="Q2" s="7" t="s">
        <v>5</v>
      </c>
      <c r="S2" s="9" t="s">
        <v>33</v>
      </c>
    </row>
    <row r="3" spans="1:20" ht="24.95" customHeight="1" thickBot="1" x14ac:dyDescent="0.35">
      <c r="A3" s="3" t="s">
        <v>180</v>
      </c>
      <c r="B3" s="3">
        <v>100</v>
      </c>
      <c r="C3" s="10" t="str">
        <f>VLOOKUP(Recipe10161922495255[[#This Row],[חומר גלם]],'חומרי גלם'!A:D,4,0)</f>
        <v>גרם</v>
      </c>
      <c r="D3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4.8</v>
      </c>
      <c r="F3" s="3">
        <v>0.4</v>
      </c>
      <c r="G3" s="3">
        <v>100</v>
      </c>
      <c r="H3" s="10">
        <f>Work11172023505356[[#This Row],[עלות לשעת עבודה]]*Work11172023505356[[#This Row],[שעות עבודה]]</f>
        <v>40</v>
      </c>
      <c r="J3" s="25"/>
      <c r="K3" s="12" t="s">
        <v>14</v>
      </c>
      <c r="L3" s="13" t="s">
        <v>9</v>
      </c>
      <c r="M3" s="14" t="s">
        <v>15</v>
      </c>
      <c r="O3" s="3" t="s">
        <v>105</v>
      </c>
      <c r="P3" s="3">
        <v>1</v>
      </c>
      <c r="Q3" s="11">
        <f>ROUNDUP(VLOOKUP(SinglePack12182124515457[[#This Row],[מוצר]],אריזות!A:C,2,0)/VLOOKUP(SinglePack12182124515457[[#This Row],[מוצר]],אריזות!A:C,3,0)*SinglePack12182124515457[[#This Row],[כמות]],2)</f>
        <v>3.25</v>
      </c>
      <c r="S3" s="15">
        <f>Q1+M4</f>
        <v>11.059999999999999</v>
      </c>
    </row>
    <row r="4" spans="1:20" ht="24.95" customHeight="1" thickTop="1" x14ac:dyDescent="0.3">
      <c r="A4" s="3" t="s">
        <v>118</v>
      </c>
      <c r="B4" s="3">
        <v>100</v>
      </c>
      <c r="C4" s="10" t="str">
        <f>VLOOKUP(Recipe10161922495255[[#This Row],[חומר גלם]],'חומרי גלם'!A:D,4,0)</f>
        <v>גרם</v>
      </c>
      <c r="D4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3.75</v>
      </c>
      <c r="J4" s="16">
        <v>10</v>
      </c>
      <c r="K4" s="17">
        <f>ROUNDUP(D1/J4,2)</f>
        <v>3.51</v>
      </c>
      <c r="L4" s="17" cm="1">
        <f t="array" ref="L4">ROUNDUP(Work11172023505356[עלות עבודה]/J4,2)</f>
        <v>4</v>
      </c>
      <c r="M4" s="8">
        <f>L4+K4</f>
        <v>7.51</v>
      </c>
      <c r="O4" s="3" t="s">
        <v>125</v>
      </c>
      <c r="P4" s="3">
        <v>1</v>
      </c>
      <c r="Q4" s="11">
        <f>ROUNDUP(VLOOKUP(SinglePack12182124515457[[#This Row],[מוצר]],אריזות!A:C,2,0)/VLOOKUP(SinglePack12182124515457[[#This Row],[מוצר]],אריזות!A:C,3,0)*SinglePack12182124515457[[#This Row],[כמות]],2)</f>
        <v>0.3</v>
      </c>
    </row>
    <row r="5" spans="1:20" ht="24.95" customHeight="1" x14ac:dyDescent="0.3">
      <c r="A5" s="3" t="s">
        <v>35</v>
      </c>
      <c r="B5" s="3">
        <v>180</v>
      </c>
      <c r="C5" s="10" t="str">
        <f>VLOOKUP(Recipe10161922495255[[#This Row],[חומר גלם]],'חומרי גלם'!A:D,4,0)</f>
        <v>גרם</v>
      </c>
      <c r="D5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5.0999999999999996</v>
      </c>
    </row>
    <row r="6" spans="1:20" ht="24.95" customHeight="1" x14ac:dyDescent="0.3">
      <c r="A6" s="3" t="s">
        <v>145</v>
      </c>
      <c r="B6" s="3">
        <v>15</v>
      </c>
      <c r="C6" s="10" t="str">
        <f>VLOOKUP(Recipe10161922495255[[#This Row],[חומר גלם]],'חומרי גלם'!A:D,4,0)</f>
        <v>גרם</v>
      </c>
      <c r="D6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0.9</v>
      </c>
    </row>
    <row r="7" spans="1:20" ht="24.95" customHeight="1" x14ac:dyDescent="0.3">
      <c r="A7" s="3" t="s">
        <v>119</v>
      </c>
      <c r="B7" s="3">
        <v>100</v>
      </c>
      <c r="C7" s="10" t="str">
        <f>VLOOKUP(Recipe10161922495255[[#This Row],[חומר גלם]],'חומרי גלם'!A:D,4,0)</f>
        <v>גרם</v>
      </c>
      <c r="D7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3.75</v>
      </c>
    </row>
    <row r="8" spans="1:20" ht="24.95" customHeight="1" x14ac:dyDescent="0.3">
      <c r="A8" s="3" t="s">
        <v>145</v>
      </c>
      <c r="B8" s="3">
        <v>30</v>
      </c>
      <c r="C8" s="10" t="str">
        <f>VLOOKUP(Recipe10161922495255[[#This Row],[חומר גלם]],'חומרי גלם'!A:D,4,0)</f>
        <v>גרם</v>
      </c>
      <c r="D8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1.8</v>
      </c>
    </row>
    <row r="9" spans="1:20" ht="24.95" customHeight="1" x14ac:dyDescent="0.3">
      <c r="A9" s="3" t="s">
        <v>214</v>
      </c>
      <c r="B9" s="3">
        <v>1</v>
      </c>
      <c r="C9" s="10" t="str">
        <f>VLOOKUP(Recipe10161922495255[[#This Row],[חומר גלם]],'חומרי גלם'!A:D,4,0)</f>
        <v>יחידות</v>
      </c>
      <c r="D9" s="11">
        <f>ROUNDUP(Recipe10161922495255[[#This Row],[כמות במתכון]]*VLOOKUP(Recipe10161922495255[[#This Row],[חומר גלם]],'חומרי גלם'!A:D,2,0)/VLOOKUP(Recipe10161922495255[[#This Row],[חומר גלם]],'חומרי גלם'!A:D,3,0),2)</f>
        <v>15</v>
      </c>
    </row>
  </sheetData>
  <mergeCells count="2">
    <mergeCell ref="J2:J3"/>
    <mergeCell ref="K2:M2"/>
  </mergeCells>
  <dataValidations count="2">
    <dataValidation type="list" allowBlank="1" showInputMessage="1" showErrorMessage="1" sqref="O3:O4" xr:uid="{005FB4A2-2BA7-4D10-9328-9D0BAFE3441B}">
      <formula1>INDIRECT("Packages[מוצר]")</formula1>
    </dataValidation>
    <dataValidation type="list" allowBlank="1" showInputMessage="1" showErrorMessage="1" sqref="A3:A9" xr:uid="{801DC6AF-92E8-404E-B45A-160C6E3DBF8A}">
      <formula1>INDIRECT("Ingredients[חומר גלם]")</formula1>
    </dataValidation>
  </dataValidations>
  <hyperlinks>
    <hyperlink ref="T1" location="ראשי!A1" display="חזרה לתפריט" xr:uid="{6B04DD5F-328A-4760-BFE8-F81152766D58}"/>
  </hyperlinks>
  <pageMargins left="0.7" right="0.7" top="0.75" bottom="0.75" header="0.3" footer="0.3"/>
  <pageSetup orientation="portrait" horizontalDpi="300" verticalDpi="300"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ראשי</vt:lpstr>
      <vt:lpstr>חומרי גלם</vt:lpstr>
      <vt:lpstr>אריזות</vt:lpstr>
      <vt:lpstr>עלות ליחידה</vt:lpstr>
      <vt:lpstr>מוצרים</vt:lpstr>
      <vt:lpstr>מארזים</vt:lpstr>
      <vt:lpstr>מארז פורים ענק</vt:lpstr>
      <vt:lpstr>מארז פורים לגנים</vt:lpstr>
      <vt:lpstr>מארז פורים גדול</vt:lpstr>
      <vt:lpstr>מארז פורים בינוני עם כיבודיות</vt:lpstr>
      <vt:lpstr>מארז פורים בינוני</vt:lpstr>
      <vt:lpstr>מארז פורים עם כיבודיות</vt:lpstr>
      <vt:lpstr>מארז פורים קטן</vt:lpstr>
      <vt:lpstr>עוגיות חמאה</vt:lpstr>
      <vt:lpstr>חטיף שוגי</vt:lpstr>
      <vt:lpstr>עוגיות בראוניג פורים</vt:lpstr>
      <vt:lpstr>נשיקות מרנג</vt:lpstr>
      <vt:lpstr>אלפחורס קקאו</vt:lpstr>
      <vt:lpstr>אלפחורס</vt:lpstr>
      <vt:lpstr>עוגת שוקולד אישית</vt:lpstr>
      <vt:lpstr>אוזני המן מירי כץ פיסטוק</vt:lpstr>
      <vt:lpstr>אוזני המן מירי כץ קקאו</vt:lpstr>
      <vt:lpstr>אוזני המן מירי כץ וניל</vt:lpstr>
      <vt:lpstr>עוגת שוקולד בלי ביצים</vt:lpstr>
      <vt:lpstr>עוגת שוקולד שלי</vt:lpstr>
      <vt:lpstr>בראוניז MIRMIS</vt:lpstr>
      <vt:lpstr>מוס 24</vt:lpstr>
      <vt:lpstr>מוס 20</vt:lpstr>
      <vt:lpstr>מוס 16</vt:lpstr>
      <vt:lpstr>מיני דונאטס (עדי כהן)</vt:lpstr>
      <vt:lpstr>מגולגלות קינדר</vt:lpstr>
      <vt:lpstr>מתכון מגנום בסיסי</vt:lpstr>
      <vt:lpstr>צנצנות מוס אישי</vt:lpstr>
      <vt:lpstr>עוגת מוס קינדר 16</vt:lpstr>
      <vt:lpstr>קרם ברולה אישי</vt:lpstr>
      <vt:lpstr>בקלאווה טחינה</vt:lpstr>
      <vt:lpstr>בקלאווה אגוזים</vt:lpstr>
      <vt:lpstr>מגולגלות פיסטוק</vt:lpstr>
      <vt:lpstr>בראוניז אמסטרדם</vt:lpstr>
      <vt:lpstr>נקניק שוקולד לבן קינדר</vt:lpstr>
      <vt:lpstr>עוגיות אמסטרדם</vt:lpstr>
      <vt:lpstr>עוגיות שוקולד צ'יפס מושחתות</vt:lpstr>
      <vt:lpstr>חיתוכיות פררו רושה</vt:lpstr>
      <vt:lpstr>מגולגלות במבה נוגט</vt:lpstr>
      <vt:lpstr>פרליני שוקלד חמאת בוטנים</vt:lpstr>
      <vt:lpstr>טריקולד</vt:lpstr>
      <vt:lpstr>כדורי לואקר</vt:lpstr>
      <vt:lpstr>עוגיות חמאה פיסטוק</vt:lpstr>
      <vt:lpstr>כדורי אוריאו</vt:lpstr>
      <vt:lpstr>כדורי קינדר בואנו</vt:lpstr>
      <vt:lpstr>עוגיות שלג</vt:lpstr>
      <vt:lpstr>עוגת ביסקוויטים פיסטוק</vt:lpstr>
      <vt:lpstr>נקניק שוקולד חום לבן</vt:lpstr>
      <vt:lpstr>מיני דונאטס (מולטיקייק)</vt:lpstr>
      <vt:lpstr>רוגלך קטנים</vt:lpstr>
      <vt:lpstr>קינדר ג'וני ביתי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Naama Efrati</dc:creator>
  <cp:lastModifiedBy>koral biton</cp:lastModifiedBy>
  <dcterms:created xsi:type="dcterms:W3CDTF">2023-01-03T19:55:04Z</dcterms:created>
  <dcterms:modified xsi:type="dcterms:W3CDTF">2024-04-16T22:37:17Z</dcterms:modified>
</cp:coreProperties>
</file>